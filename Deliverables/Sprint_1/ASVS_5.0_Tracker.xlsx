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anton\Downloads\"/>
    </mc:Choice>
  </mc:AlternateContent>
  <xr:revisionPtr revIDLastSave="0" documentId="13_ncr:1_{B85DB334-B03A-4C87-B5F6-2A37DF57900E}" xr6:coauthVersionLast="47" xr6:coauthVersionMax="47" xr10:uidLastSave="{00000000-0000-0000-0000-000000000000}"/>
  <bookViews>
    <workbookView xWindow="-90" yWindow="0" windowWidth="9780" windowHeight="10170" tabRatio="500" firstSheet="1" activeTab="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H18" i="1"/>
  <c r="G18" i="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K9" i="1"/>
  <c r="J9" i="1"/>
  <c r="G9" i="1"/>
  <c r="H9" i="1" s="1"/>
  <c r="D9" i="1"/>
  <c r="E9" i="1" s="1"/>
  <c r="L8" i="1"/>
  <c r="M8" i="1" s="1"/>
  <c r="J8" i="1"/>
  <c r="K8" i="1" s="1"/>
  <c r="G8" i="1"/>
  <c r="H8" i="1" s="1"/>
  <c r="D8" i="1"/>
  <c r="E8" i="1" s="1"/>
  <c r="L7" i="1"/>
  <c r="M7" i="1" s="1"/>
  <c r="J7" i="1"/>
  <c r="K7" i="1" s="1"/>
  <c r="G7" i="1"/>
  <c r="H7" i="1" s="1"/>
  <c r="D7" i="1"/>
  <c r="E7" i="1" s="1"/>
  <c r="L6" i="1"/>
  <c r="J6" i="1"/>
  <c r="G6" i="1"/>
  <c r="D6" i="1"/>
  <c r="M6" i="1" l="1"/>
  <c r="M23" i="1" s="1"/>
  <c r="L23" i="1"/>
  <c r="K6" i="1"/>
  <c r="K23" i="1" s="1"/>
  <c r="J23" i="1"/>
  <c r="H6" i="1"/>
  <c r="H23" i="1" s="1"/>
  <c r="G23" i="1"/>
  <c r="E6" i="1"/>
  <c r="E23" i="1" s="1"/>
  <c r="D23" i="1"/>
</calcChain>
</file>

<file path=xl/sharedStrings.xml><?xml version="1.0" encoding="utf-8"?>
<sst xmlns="http://schemas.openxmlformats.org/spreadsheetml/2006/main" count="2131" uniqueCount="965">
  <si>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</si>
  <si>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</si>
  <si>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</si>
  <si>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</si>
  <si>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</si>
  <si>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</si>
  <si>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</si>
  <si>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</si>
  <si>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</si>
  <si>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</si>
  <si>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</si>
  <si>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</si>
  <si>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</si>
  <si>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</si>
  <si>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</si>
  <si>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</si>
  <si>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</si>
  <si>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</si>
  <si>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</si>
  <si>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</si>
  <si>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</si>
  <si>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</si>
  <si>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</si>
  <si>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</si>
  <si>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</si>
  <si>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</si>
  <si>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</si>
  <si>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</si>
  <si>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</si>
  <si>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</si>
  <si>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</si>
  <si>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</si>
  <si>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</si>
  <si>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</si>
  <si>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</si>
  <si>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</si>
  <si>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</si>
  <si>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</si>
  <si>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</si>
  <si>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</si>
  <si>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</si>
  <si>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</si>
  <si>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</si>
  <si>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</si>
  <si>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</si>
  <si>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</si>
  <si>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</si>
  <si>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</si>
  <si>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</si>
  <si>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</si>
  <si>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</si>
  <si>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</si>
  <si>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</si>
  <si>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</si>
  <si>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</si>
  <si>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</si>
  <si>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</si>
  <si>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</si>
  <si>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</si>
  <si>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</si>
  <si>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</si>
  <si>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</si>
  <si>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</si>
  <si>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</si>
  <si>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</si>
  <si>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</si>
  <si>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</si>
  <si>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</si>
  <si>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</si>
  <si>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</si>
  <si>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</si>
  <si>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</si>
  <si>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</si>
  <si>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</si>
  <si>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</si>
  <si>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</si>
  <si>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</si>
  <si>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</si>
  <si>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</si>
  <si>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</si>
  <si>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</si>
  <si>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</si>
  <si>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</si>
  <si>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</si>
  <si>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</si>
  <si>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</si>
  <si>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</si>
  <si>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</si>
  <si>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</si>
  <si>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</si>
  <si>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</si>
  <si>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</si>
  <si>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</si>
  <si>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</si>
  <si>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</si>
  <si>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</si>
  <si>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</si>
  <si>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</si>
  <si>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</si>
  <si>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</si>
  <si>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</si>
  <si>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</si>
  <si>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</si>
  <si>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</si>
  <si>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</si>
  <si>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</si>
  <si>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</si>
  <si>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</si>
  <si>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</si>
  <si>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</si>
  <si>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</si>
  <si>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</si>
  <si>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</si>
  <si>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</si>
  <si>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</si>
  <si>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</si>
  <si>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</si>
  <si>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</si>
  <si>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</si>
  <si>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</si>
  <si>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</si>
  <si>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</si>
  <si>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</si>
  <si>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</si>
  <si>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</si>
  <si>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</si>
  <si>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</si>
  <si>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</si>
  <si>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</si>
  <si>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</si>
  <si>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</si>
  <si>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</si>
  <si>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</si>
  <si>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</si>
  <si>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</si>
  <si>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</si>
  <si>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</si>
  <si>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</si>
  <si>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</si>
  <si>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</si>
  <si>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</si>
  <si>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</si>
  <si>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</si>
  <si>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</si>
  <si>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</si>
  <si>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</si>
  <si>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</si>
  <si>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</si>
  <si>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</si>
  <si>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</si>
  <si>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</si>
  <si>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</si>
  <si>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</si>
  <si>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</si>
  <si>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</si>
  <si>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</si>
  <si>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</si>
  <si>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</si>
  <si>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</si>
  <si>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</si>
  <si>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</si>
  <si>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</si>
  <si>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</si>
  <si>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</si>
  <si>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</si>
  <si>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</si>
  <si>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</si>
  <si>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</si>
  <si>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</si>
  <si>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</si>
  <si>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</si>
  <si>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</si>
  <si>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</si>
  <si>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</si>
  <si>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</si>
  <si>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</si>
  <si>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</si>
  <si>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</si>
  <si>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</si>
  <si>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</si>
  <si>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</si>
  <si>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</si>
  <si>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</si>
  <si>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</si>
  <si>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</si>
  <si>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</si>
  <si>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</si>
  <si>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</si>
  <si>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</si>
  <si>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</si>
  <si>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</si>
  <si>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</si>
  <si>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</si>
  <si>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</si>
  <si>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</si>
  <si>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</si>
  <si>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</si>
  <si>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</si>
  <si>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</si>
  <si>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</si>
  <si>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</si>
  <si>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</si>
  <si>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</si>
  <si>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</si>
  <si>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</si>
  <si>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</si>
  <si>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</si>
  <si>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</si>
  <si>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</si>
  <si>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</si>
  <si>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</si>
  <si>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</si>
  <si>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</si>
  <si>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</si>
  <si>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</si>
  <si>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</si>
  <si>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</si>
  <si>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</si>
  <si>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</si>
  <si>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</si>
  <si>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</si>
  <si>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</si>
  <si>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</si>
  <si>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</si>
  <si>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</si>
  <si>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</si>
  <si>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</si>
  <si>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</si>
  <si>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</si>
  <si>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</si>
  <si>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</si>
  <si>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</si>
  <si>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</si>
  <si>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</si>
  <si>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</si>
  <si>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</si>
  <si>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</si>
  <si>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</si>
  <si>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</si>
  <si>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</si>
  <si>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</si>
  <si>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</si>
  <si>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</si>
  <si>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</si>
  <si>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</si>
  <si>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</si>
  <si>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</si>
  <si>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</si>
  <si>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</si>
  <si>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</si>
  <si>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</si>
  <si>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</si>
  <si>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</si>
  <si>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</si>
  <si>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</si>
  <si>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</si>
  <si>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</si>
  <si>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</si>
  <si>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</si>
  <si>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</si>
  <si>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</si>
  <si>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</si>
  <si>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</si>
  <si>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</si>
  <si>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</si>
  <si>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</si>
  <si>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</si>
  <si>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</si>
  <si>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</si>
  <si>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</si>
  <si>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</si>
  <si>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</si>
  <si>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</si>
  <si>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</si>
  <si>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</si>
  <si>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</si>
  <si>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</si>
  <si>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</si>
  <si>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</si>
  <si>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</si>
  <si>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</si>
  <si>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</si>
  <si>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</si>
  <si>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</si>
  <si>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</si>
  <si>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</si>
  <si>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</si>
  <si>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</si>
  <si>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</si>
  <si>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</si>
  <si>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</si>
  <si>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</si>
  <si>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</si>
  <si>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</si>
  <si>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</si>
  <si>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</si>
  <si>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</si>
  <si>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</si>
  <si>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</si>
  <si>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</si>
  <si>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</si>
  <si>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</si>
  <si>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</si>
  <si>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</si>
  <si>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</si>
  <si>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</si>
  <si>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</si>
  <si>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</si>
  <si>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</si>
  <si>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</si>
  <si>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</si>
  <si>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</si>
  <si>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</si>
  <si>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</si>
  <si>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</si>
  <si>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</si>
  <si>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</si>
  <si>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</si>
  <si>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</si>
  <si>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</si>
  <si>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</si>
  <si>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</si>
  <si>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</si>
  <si>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</si>
  <si>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</si>
  <si>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</si>
  <si>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</si>
  <si>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</si>
  <si>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</si>
  <si>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</si>
  <si>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</si>
  <si>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</si>
  <si>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</si>
  <si>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</si>
  <si>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</si>
  <si>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</si>
  <si>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</si>
  <si>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</si>
  <si>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</si>
  <si>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</si>
  <si>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</si>
  <si>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</si>
  <si>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</si>
  <si>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</si>
  <si>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</si>
  <si>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</si>
  <si>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</si>
  <si>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</si>
  <si>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</si>
  <si>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</si>
  <si>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</si>
  <si>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</si>
  <si>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</si>
  <si>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</si>
  <si>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</si>
  <si>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</si>
  <si>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</si>
  <si>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</si>
  <si>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</si>
  <si>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</si>
  <si>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</si>
  <si>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</si>
  <si>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</si>
  <si>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</si>
  <si>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</si>
  <si>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</si>
  <si>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</si>
  <si>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</si>
  <si>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</si>
  <si>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</si>
  <si>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</si>
  <si>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</si>
  <si>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</si>
  <si>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</si>
  <si>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</si>
  <si>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</si>
  <si>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</si>
  <si>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</si>
  <si>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</si>
  <si>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</si>
  <si>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</si>
  <si>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</si>
  <si>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</si>
  <si>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</si>
  <si>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</si>
  <si>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</si>
  <si>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</si>
  <si>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</si>
  <si>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</si>
  <si>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</si>
  <si>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</si>
  <si>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</si>
  <si>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</si>
  <si>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</si>
  <si>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</si>
  <si>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</si>
  <si>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</si>
  <si>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</si>
  <si>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</si>
  <si>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</si>
  <si>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</si>
  <si>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</si>
  <si>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</si>
  <si>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</si>
  <si>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</si>
  <si>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</si>
  <si>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</si>
  <si>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</si>
  <si>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</si>
  <si>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</si>
  <si>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</si>
  <si>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</si>
  <si>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</si>
  <si>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</si>
  <si>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</si>
  <si>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</si>
  <si>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</si>
  <si>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</si>
  <si>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</si>
  <si>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</si>
  <si>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</si>
  <si>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</si>
  <si>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</si>
  <si>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</si>
  <si>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</si>
  <si>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</si>
  <si>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</si>
  <si>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</si>
  <si>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</si>
  <si>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</si>
  <si>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</si>
  <si>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</si>
  <si>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</si>
  <si>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</si>
  <si>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</si>
  <si>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</si>
  <si>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</si>
  <si>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</si>
  <si>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</si>
  <si>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</si>
  <si>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</si>
  <si>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</si>
  <si>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</si>
  <si>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</si>
  <si>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</si>
  <si>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</si>
  <si>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</si>
  <si>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</si>
  <si>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</si>
  <si>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</si>
  <si>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</si>
  <si>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</si>
  <si>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</si>
  <si>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</si>
  <si>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</si>
  <si>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</si>
  <si>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</si>
  <si>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</si>
  <si>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</si>
  <si>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</si>
  <si>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</si>
  <si>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</si>
  <si>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</si>
  <si>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</si>
  <si>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</si>
  <si>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</si>
  <si>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</si>
  <si>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</si>
  <si>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</si>
  <si>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</si>
  <si>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</si>
  <si>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</si>
  <si>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</si>
  <si>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</si>
  <si>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</si>
  <si>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</si>
  <si>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</si>
  <si>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</si>
  <si>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</si>
  <si>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</si>
  <si>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</si>
  <si>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</si>
  <si>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</si>
  <si>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</si>
  <si>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</si>
  <si>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</si>
  <si>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</si>
  <si>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</si>
  <si>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</si>
  <si>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</si>
  <si>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</si>
  <si>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</si>
  <si>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</si>
  <si>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</si>
  <si>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</si>
  <si>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</si>
  <si>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</si>
  <si>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</si>
  <si>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</si>
  <si>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</si>
  <si>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</si>
  <si>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</si>
  <si>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</si>
  <si>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</si>
  <si>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</si>
  <si>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</si>
  <si>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</si>
  <si>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</si>
  <si>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</si>
  <si>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</si>
  <si>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</si>
  <si>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</si>
  <si>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</si>
  <si>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</si>
  <si>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</si>
  <si>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</si>
  <si>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</si>
  <si>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</si>
  <si>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</si>
  <si>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</si>
  <si>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</si>
  <si>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</si>
  <si>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</si>
  <si>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</si>
  <si>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</si>
  <si>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</si>
  <si>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</si>
  <si>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</si>
  <si>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</si>
  <si>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</si>
  <si>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</si>
  <si>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</si>
  <si>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</si>
  <si>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</si>
  <si>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</si>
  <si>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</si>
  <si>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</si>
  <si>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</si>
  <si>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</si>
  <si>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</si>
  <si>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</si>
  <si>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</si>
  <si>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</si>
  <si>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</si>
  <si>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</si>
  <si>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</si>
  <si>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</si>
  <si>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</si>
  <si>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</si>
  <si>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</si>
  <si>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</si>
  <si>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</si>
  <si>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</si>
  <si>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</si>
  <si>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</si>
  <si>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</si>
  <si>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</si>
  <si>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</si>
  <si>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</si>
  <si>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</si>
  <si>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</si>
  <si>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</si>
  <si>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</si>
  <si>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</si>
  <si>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</si>
  <si>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</si>
  <si>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</si>
  <si>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</si>
  <si>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</si>
  <si>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</si>
  <si>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</si>
  <si>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</si>
  <si>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</si>
  <si>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</si>
  <si>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</si>
  <si>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</si>
  <si>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</si>
  <si>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</si>
  <si>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</si>
  <si>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</si>
  <si>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</si>
  <si>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</si>
  <si>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</si>
  <si>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</si>
  <si>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</si>
  <si>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</si>
  <si>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</si>
  <si>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</si>
  <si>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</si>
  <si>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</si>
  <si>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</si>
  <si>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</si>
  <si>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</si>
  <si>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</si>
  <si>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</si>
  <si>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</si>
  <si>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</si>
  <si>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</si>
  <si>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</si>
  <si>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</si>
  <si>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</si>
  <si>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</si>
  <si>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</si>
  <si>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</si>
  <si>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</si>
  <si>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</si>
  <si>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</si>
  <si>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</si>
  <si>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</si>
  <si>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</si>
  <si>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</si>
  <si>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</si>
  <si>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</si>
  <si>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</si>
  <si>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</si>
  <si>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</si>
  <si>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</si>
  <si>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</si>
  <si>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</si>
  <si>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</si>
  <si>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</si>
  <si>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</si>
  <si>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</si>
  <si>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</si>
  <si>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</si>
  <si>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</si>
  <si>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</si>
  <si>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</si>
  <si>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</si>
  <si>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</si>
  <si>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</si>
  <si>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</si>
  <si>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</si>
  <si>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</si>
  <si>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</si>
  <si>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</si>
  <si>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</si>
  <si>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</si>
  <si>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</si>
  <si>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</si>
  <si>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</si>
  <si>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</si>
  <si>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</si>
  <si>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</si>
  <si>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</si>
  <si>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</si>
  <si>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</si>
  <si>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</si>
  <si>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</si>
  <si>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</si>
  <si>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</si>
  <si>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</si>
  <si>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</si>
  <si>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</si>
  <si>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</si>
  <si>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</si>
  <si>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</si>
  <si>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</si>
  <si>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</si>
  <si>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</si>
  <si>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</si>
  <si>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</si>
  <si>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</si>
  <si>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</si>
  <si>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</si>
  <si>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</si>
  <si>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</si>
  <si>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</si>
  <si>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</si>
  <si>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</si>
  <si>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</si>
  <si>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</si>
  <si>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</si>
  <si>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</si>
  <si>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</si>
  <si>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</si>
  <si>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</si>
  <si>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</si>
  <si>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</si>
  <si>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</si>
  <si>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</si>
  <si>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</si>
  <si>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</si>
  <si>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</si>
  <si>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</si>
  <si>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</si>
  <si>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</si>
  <si>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</si>
  <si>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</si>
  <si>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</si>
  <si>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</si>
  <si>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</si>
  <si>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</si>
  <si>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</si>
  <si>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</si>
  <si>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</si>
  <si>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</si>
  <si>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</si>
  <si>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</si>
  <si>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</si>
  <si>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</si>
  <si>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</si>
  <si>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</si>
  <si>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</si>
  <si>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</si>
  <si>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</si>
  <si>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</si>
  <si>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</si>
  <si>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</si>
  <si>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</si>
  <si>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</si>
  <si>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</si>
  <si>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</si>
  <si>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</si>
  <si>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</si>
  <si>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</si>
  <si>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</si>
  <si>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</si>
  <si>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</si>
  <si>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</si>
  <si>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</si>
  <si>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</si>
  <si>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</si>
  <si>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</si>
  <si>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</si>
  <si>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</si>
  <si>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</si>
  <si>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</si>
  <si>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</si>
  <si>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</si>
  <si>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</si>
  <si>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</si>
  <si>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</si>
  <si>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</si>
  <si>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</si>
  <si>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</si>
  <si>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</si>
  <si>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</si>
  <si>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</si>
  <si>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</si>
  <si>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</si>
  <si>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</si>
  <si>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</si>
  <si>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</si>
  <si>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</si>
  <si>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</si>
  <si>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</si>
  <si>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</si>
  <si>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</si>
  <si>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</si>
  <si>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</si>
  <si>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</si>
  <si>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</si>
  <si>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</si>
  <si>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</si>
  <si>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</si>
  <si>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</si>
  <si>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</si>
  <si>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</si>
  <si>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</si>
  <si>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</si>
  <si>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</si>
  <si>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</si>
  <si>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</si>
  <si>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</si>
  <si>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</si>
  <si>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</si>
  <si>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</si>
  <si>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</si>
  <si>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</si>
  <si>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</si>
  <si>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</si>
  <si>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</si>
  <si>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</si>
  <si>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</si>
  <si>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</si>
  <si>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</si>
  <si>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</si>
  <si>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</si>
  <si>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</si>
  <si>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</si>
  <si>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</si>
  <si>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</si>
  <si>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</si>
  <si>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</si>
  <si>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</si>
  <si>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</si>
  <si>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</si>
  <si>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</si>
  <si>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</si>
  <si>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</si>
  <si>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</si>
  <si>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</si>
  <si>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</si>
  <si>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</si>
  <si>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</si>
  <si>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</si>
  <si>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</si>
  <si>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</si>
  <si>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</si>
  <si>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</si>
  <si>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</si>
  <si>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</si>
  <si>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</si>
  <si>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</si>
  <si>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</si>
  <si>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</si>
  <si>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</si>
  <si>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</si>
  <si>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</si>
  <si>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</si>
  <si>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</si>
  <si>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</si>
  <si>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</si>
  <si>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</si>
  <si>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</si>
  <si>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</si>
  <si>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</si>
  <si>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</si>
  <si>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</si>
  <si>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</si>
  <si>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</si>
  <si>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</si>
  <si>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</si>
  <si>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</si>
  <si>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</si>
  <si>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</si>
  <si>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</si>
  <si>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</si>
  <si>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</si>
  <si>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</si>
  <si>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</si>
  <si>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</si>
  <si>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</si>
  <si>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</si>
  <si>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</si>
  <si>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</si>
  <si>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</si>
  <si>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</si>
  <si>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</si>
  <si>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</si>
  <si>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</si>
  <si>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</si>
  <si>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</si>
  <si>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</si>
  <si>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</si>
  <si>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</si>
  <si>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</si>
  <si>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</si>
  <si>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</si>
  <si>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</si>
  <si>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</si>
  <si>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</si>
  <si>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</si>
  <si>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</si>
  <si>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</si>
  <si>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</si>
  <si>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</si>
  <si>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</si>
  <si>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</si>
  <si>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</si>
  <si>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</si>
  <si>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</si>
  <si>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</si>
  <si>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</si>
  <si>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</si>
  <si>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</si>
  <si>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</si>
  <si>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</si>
  <si>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</si>
  <si>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</si>
  <si>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</si>
  <si>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</si>
  <si>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</si>
  <si>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</si>
  <si>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</si>
  <si>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</si>
  <si>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</si>
  <si>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</si>
  <si>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</si>
  <si>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</si>
  <si>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</si>
  <si>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</si>
  <si>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</si>
  <si>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</si>
  <si>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</si>
  <si>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</si>
  <si>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</si>
  <si>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</si>
  <si>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</si>
  <si>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</si>
  <si>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</si>
  <si>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Compliant</t>
  </si>
  <si>
    <t>Minimum password length of 15 characters is enforced at both account registration and password change.</t>
  </si>
  <si>
    <t>https://github.com/mei-desofs/desofs2026-tue_crr_3/blob/8eac90d29c53f3f94c5afe7d0e70417f54ea3fd0/TeaShop/TeaShop/Infrastructure/Security/PasswordPolicyChecker.cs#L21</t>
  </si>
  <si>
    <t>Password change functionality is available</t>
  </si>
  <si>
    <t>https://github.com/mei-desofs/desofs2026-tue_crr_3/blob/8eac90d29c53f3f94c5afe7d0e70417f54ea3fd0/TeaShop/TeaShop/Presentation/AuthController.cs#L52</t>
  </si>
  <si>
    <t>https://github.com/mei-desofs/desofs2026-tue_crr_3/blob/8eac90d29c53f3f94c5afe7d0e70417f54ea3fd0/TeaShop/TeaShop/Application/Auth/AuthService.cs#L117</t>
  </si>
  <si>
    <t>Passwords have been validated against Have I been Pwned vreached database during registration and password changes</t>
  </si>
  <si>
    <t>https://github.com/mei-desofs/desofs2026-tue_crr_3/blob/8eac90d29c53f3f94c5afe7d0e70417f54ea3fd0/TeaShop/TeaShop/Infrastructure/Security/PasswordPolicyChecker.cs#L27</t>
  </si>
  <si>
    <t>No enforcement of password rotation or password expiration</t>
  </si>
  <si>
    <t>Very rudimentary implementation of it,needs to be improved and discussed</t>
  </si>
  <si>
    <t>https://github.com/mei-desofs/desofs2026-tue_crr_3/blob/8eac90d29c53f3f94c5afe7d0e70417f54ea3fd0/TeaShop/TeaShop/Infrastructure/Security/PasswordPolicyChecker.cs#L23</t>
  </si>
  <si>
    <t>https://github.com/mei-desofs/desofs2026-tue_crr_3/blob/8f46a365d66633111f5bd3d941b700ef19be5f5e/TeaShop/TeaShop.Test/Unit/Infrastructure/PasswordPolicyCheckerTests.cs#L75</t>
  </si>
  <si>
    <t>Password change functionality depends on knowing  the current password</t>
  </si>
  <si>
    <t>No enforcement of maximum password size                 Manual testing</t>
  </si>
  <si>
    <t xml:space="preserve">Session.isValid() is invoked by the AIM Middleware on every authenticated request, performing server-side token validation </t>
  </si>
  <si>
    <t>https://github.com/mei-desofs/desofs2026-tue_crr_3/blob/8f46a365d66633111f5bd3d941b700ef19be5f5e/TeaShop/TeaShop/Infrastructure/Middleware/IAMMiddleware.cs#L13</t>
  </si>
  <si>
    <t>Upon Login an custom session token is generation and stored in the backend</t>
  </si>
  <si>
    <t>https://github.com/mei-desofs/desofs2026-tue_crr_3/blob/8f46a365d66633111f5bd3d941b700ef19be5f5e/TeaShop/TeaShop/Application/Auth/AuthService.cs#L92</t>
  </si>
  <si>
    <t>https://github.com/mei-desofs/desofs2026-tue_crr_3/blob/8f46a365d66633111f5bd3d941b700ef19be5f5e/TeaShop/TeaShop/Domain/IAM/SessionToken.cs#L12</t>
  </si>
  <si>
    <t>Sessions have an expiration date and are validate for every request In the Middleware</t>
  </si>
  <si>
    <t>https://github.com/mei-desofs/desofs2026-tue_crr_3/blob/8f46a365d66633111f5bd3d941b700ef19be5f5e/TeaShop/TeaShop/Infrastructure/Middleware/IAMMiddleware.cs#L24</t>
  </si>
  <si>
    <t>Logout sets Session.isRevoked = true on the backend. Subsequent calls to Session.isValid() return false for revoked tokens, preventing any further use of the session.</t>
  </si>
  <si>
    <t>https://github.com/mei-desofs/desofs2026-tue_crr_3/blob/8f46a365d66633111f5bd3d941b700ef19be5f5e/TeaShop/TeaShop/Application/Auth/AuthService.cs#L106</t>
  </si>
  <si>
    <t>https://github.com/mei-desofs/desofs2026-tue_crr_3/blob/8f46a365d66633111f5bd3d941b700ef19be5f5e/TeaShop/TeaShop/Presentation/UserController.cs#L95</t>
  </si>
  <si>
    <t>Function-level access is restricted via role verification on every controller that handles sensitive operations.</t>
  </si>
  <si>
    <t>Hashing is done using microsoft identity package which natively applies PBKDF2 with HMAC-SHA256.</t>
  </si>
  <si>
    <t>https://github.com/mei-desofs/desofs2026-tue_crr_3/blob/8f46a365d66633111f5bd3d941b700ef19be5f5e/TeaShop/TeaShop/Infrastructure/Security/PasswordHashingService.cs#L1</t>
  </si>
  <si>
    <t>https://github.com/mei-desofs/desofs2026-tue_crr_3/blob/8f46a365d66633111f5bd3d941b700ef19be5f5e/TeaShop/TeaShop/Application/Auth/AuthService.cs#L136</t>
  </si>
  <si>
    <t>Email address, postal addressare assigned a protection level that determines encryption on  logging.</t>
  </si>
  <si>
    <t>Inputs is processed directly by strongly typed .NET models .Direct String inputs used for file names (`ReportName`) are canonicalized immediately upon receipt in `SanitizeFileName` by stripping directory separators and traversal sequences , and resolving to a safe filename using `Path.GetFileName`before operating on it</t>
  </si>
  <si>
    <t>https://github.com/mei-desofs/desofs2026-tue_crr_3/blob/ff5dce5c732d9649d8f6ac4460f32af19f100fe6/TeaShop/TeaShop/Application/Orders/OrderService.cs#L235</t>
  </si>
  <si>
    <t>https://github.com/mei-desofs/desofs2026-tue_crr_3/blob/ff5dce5c732d9649d8f6ac4460f32af19f100fe6/TeaShop/TeaShop/Application/Orders/OrderService.cs#L258</t>
  </si>
  <si>
    <t>Not Applicable</t>
  </si>
  <si>
    <t xml:space="preserve">Database: The repository layer uses Entity Framework Core parameterized LINQ queries, delegating parameter escaping to the database provider itself.  </t>
  </si>
  <si>
    <t xml:space="preserve"> Output escaping is performed as a final step during serialization via "EscapeCsvField", which escapes spreadsheet formula triggers and prevents CSV/Formula injection.</t>
  </si>
  <si>
    <t>https://github.com/mei-desofs/desofs2026-tue_crr_3/blob/ff5dce5c732d9649d8f6ac4460f32af19f100fe6/TeaShop/TeaShop/Infrastructure/Persistence/Repositories/TeaRepository.cs#L8</t>
  </si>
  <si>
    <t xml:space="preserve">he application does not manually construct JSON strings via concatenation.  API serialization is handled  by  .NET </t>
  </si>
  <si>
    <t>https://github.com/mei-desofs/desofs2026-tue_crr_3/blob/ff5dce5c732d9649d8f6ac4460f32af19f100fe6/TeaShop/TeaShop/Presentation/OrderController.cs#L11</t>
  </si>
  <si>
    <t>https://github.com/mei-desofs/desofs2026-tue_crr_3/blob/ff5dce5c732d9649d8f6ac4460f32af19f100fe6/TeaShop/TeaShop/Infrastructure/Persistence/Repositories/OrderRepository.cs#L10</t>
  </si>
  <si>
    <t>Repositories interact with the database through Entity Framework Core.This uses parameterized queries, ensuring that variables are sent as SQL parameters rather than concatenated SQL strings</t>
  </si>
  <si>
    <t>Data passed to external interpreters or potentially risky contexts is parameterized or escaped beforehand. Relational database queries use EF Core parameterization, while CSV exports utilize the method `EscapeCsvField`</t>
  </si>
  <si>
    <t>https://github.com/mei-desofs/desofs2026-tue_crr_3/blob/ff5dce5c732d9649d8f6ac4460f32af19f100fe6/TeaShop/TeaShop/Infrastructure/Persistence/Repositories/SessionRepository.cs</t>
  </si>
  <si>
    <t>The application does not dynamically evaluate or compile format string templates using untrusted inputs. All string formatting throughout the codebase (such as in filename generation and CSV writing) relies on compile-time string interpolation ($) or hardcoded format strings</t>
  </si>
  <si>
    <t>https://github.com/mei-desofs/desofs2026-tue_crr_3/blob/ff5dce5c732d9649d8f6ac4460f32af19f100fe6/TeaShop/TeaShop/Application/Orders/OrderService.cs#L205</t>
  </si>
  <si>
    <t>The application is built entirely in managed C#  which is a memory-safe language. There is no use of unsafe blocks or manual pointers</t>
  </si>
  <si>
    <t>Input range validations are applied to numeric inputs (such as quantities and prices). Furthermore, financial calculations utilize the .NET 'decimal' data type, which natively throws an `OverflowException`</t>
  </si>
  <si>
    <t>https://github.com/mei-desofs/desofs2026-tue_crr_3/blob/ff5dce5c732d9649d8f6ac4460f32af19f100fe6/TeaShop/TeaShop/Application/Orders/OrderDTOs.cs#L7</t>
  </si>
  <si>
    <t>Standard memory allocation is managed by the .NET Garbage Collector. Unmanaged system resources, such as stream writers and memory streams, are wrapped in standard 'using' statements ensuring guaranteed resource release immediately after use</t>
  </si>
  <si>
    <t>https://github.com/mei-desofs/desofs2026-tue_crr_3/blob/ff5dce5c732d9649d8f6ac4460f32af19f100fe6/TeaShop/TeaShop/Application/Orders/OrderService.cs#L212</t>
  </si>
  <si>
    <t xml:space="preserve"> The application deserializes incoming API payloads strictly into defined, strongly typed C# DTOs using 'System.Text.Json'. It does not accept or deserialize arbitrary  types  and the use of of insecure serializers  is prohibited</t>
  </si>
  <si>
    <t>https://github.com/mei-desofs/desofs2026-tue_crr_3/blob/ff5dce5c732d9649d8f6ac4460f32af19f100fe6/TeaShop/TeaShop/Presentation/OrderController.cs#L119</t>
  </si>
  <si>
    <t xml:space="preserve">The application utilizes positive validation (allow-listing). Incoming data is validated against strictly defined schemas and  strict numeric ranges </t>
  </si>
  <si>
    <t>Validation rules are strictly enforced at the trusted server-side Application Service layer</t>
  </si>
  <si>
    <t>https://github.com/mei-desofs/desofs2026-tue_crr_3/blob/ff5dce5c732d9649d8f6ac4460f32af19f100fe6/TeaShop/TeaShop/Application/Orders/OrderService.cs#L190</t>
  </si>
  <si>
    <t xml:space="preserve"> Combinations of related data items are validated for logical consistency on the server. For example, in sales report generation, the system validates that `StartDate` is chronologically earlier than or equal to `EndDate` before executing the database query</t>
  </si>
  <si>
    <t>https://github.com/mei-desofs/desofs2026-tue_crr_3/blob/ff5dce5c732d9649d8f6ac4460f32af19f100fe6/TeaShop/TeaShop/Application/Orders/OrderService.cs#L197</t>
  </si>
  <si>
    <t>State transitions are validated sequentially in the domain layer. For example, an order cannot be transitioned to a 'Canceled' state unless its current sequential state permits it</t>
  </si>
  <si>
    <t>https://github.com/mei-desofs/desofs2026-tue_crr_3/blob/ff5dce5c732d9649d8f6ac4460f32af19f100fe6/TeaShop/TeaShop/Domain/Orders/Order.cs#L42</t>
  </si>
  <si>
    <t xml:space="preserve"> Logical business boundaries are strictly enforced. Standard users can only retrieve or cancel orders that match their authenticated  userId.</t>
  </si>
  <si>
    <t xml:space="preserve">The application utilizes the Unit of Work pattern to coordinate persistence across repositories. Business transactions are kept in-memory and committed atomically. </t>
  </si>
  <si>
    <t>https://github.com/mei-desofs/desofs2026-tue_crr_3/blob/ff5dce5c732d9649d8f6ac4460f32af19f100fe6/TeaShop/TeaShop/Domain/Orders/Order.cs#L39</t>
  </si>
  <si>
    <t>https://github.com/mei-desofs/desofs2026-tue_crr_3/blob/ff5dce5c732d9649d8f6ac4460f32af19f100fe6/TeaShop/TeaShop/Application/Orders/OrderService.cs#L38</t>
  </si>
  <si>
    <t>The application implements standard anti-automation and resource protection controls using the built-in ASP.NET Core Rate Limiting middleware. This prevents automated scripts from triggering denial of service (DoS), resource exhaustion, or data scraping.</t>
  </si>
  <si>
    <t>https://github.com/mei-desofs/desofs2026-tue_crr_3/blob/ff5dce5c732d9649d8f6ac4460f32af19f100fe6/TeaShop/TeaShop/Infrastructure/Security/RateLimiting.cs#L7</t>
  </si>
  <si>
    <t>https://github.com/mei-desofs/desofs2026-tue_crr_3/blob/ff5dce5c732d9649d8f6ac4460f32af19f100fe6/TeaShop/TeaShop/Presentation/AuthController.cs#L28</t>
  </si>
  <si>
    <t>The application prevents race conditions and over-allocation  using Optimistic Concurrency Control (OCC)</t>
  </si>
  <si>
    <t>Fill after commit</t>
  </si>
  <si>
    <t>Input validation requirements are documented through functional requirements and validation rules. The specification defines expected constraints for user registration, authentication, inventory management, and order processing operations.</t>
  </si>
  <si>
    <t>Requirements.md - FR-01, FR-02, FR-04, FR-06, FR-08, Section 3 (BR-01 to BR-06)</t>
  </si>
  <si>
    <t>Business validation rules are documented for inventory management, stock allocation, order creation, order access control, and order cancellation. Logical consistency requirements between related business entities are explicitly defined.</t>
  </si>
  <si>
    <t>Requirements.md - FR-06, FR-08, FR-09, FR-10, FR-11, Section 3 (BR-01 to BR-06)</t>
  </si>
  <si>
    <t>Business constraints and validation requirements are documented, including inventory management rules, stock allocation controls, prevention of negative stock values, transaction integrity requirements, concurrency handling, financial accuracy constraints, and order state management.</t>
  </si>
  <si>
    <t>Requirements.md - NFR-01, NFR-02, NFR-05, Section 3 (BR-01 to BR-06)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</si>
</sst>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theme="1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0" fillId="0" borderId="0" applyNumberFormat="0" applyFill="0" applyBorder="0" applyAlignment="0" applyProtection="0"/>
  </cellStyleXfs>
  <cellXfs count="31">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0" fillId="3" borderId="1" xfId="1" applyFill="1" applyBorder="1" applyAlignment="1">
      <alignment horizontal="left" vertical="top" wrapText="1"/>
    </xf>
    <xf numFmtId="0" fontId="10" fillId="4" borderId="1" xfId="1" applyFill="1" applyBorder="1" applyAlignment="1">
      <alignment horizontal="left" vertical="top" wrapText="1"/>
    </xf>
    <xf numFmtId="0" fontId="0" fillId="0" borderId="0" xfId="0" applyAlignment="1">
      <alignment vertical="top"/>
    </xf>
    <xf numFmtId="0" fontId="10" fillId="0" borderId="0" xfId="1"/>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1</c:v>
                </c:pt>
                <c:pt idx="2">
                  <c:v>0</c:v>
                </c:pt>
                <c:pt idx="3">
                  <c:v>0</c:v>
                </c:pt>
                <c:pt idx="4">
                  <c:v>0</c:v>
                </c:pt>
                <c:pt idx="5">
                  <c:v>0.23076923076923078</c:v>
                </c:pt>
                <c:pt idx="6">
                  <c:v>0.5</c:v>
                </c:pt>
                <c:pt idx="7">
                  <c:v>0.25</c:v>
                </c:pt>
                <c:pt idx="8">
                  <c:v>0</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F3F-462C-BF16-26EEBEB1034E}"/>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1</c:v>
                </c:pt>
                <c:pt idx="2">
                  <c:v>0</c:v>
                </c:pt>
                <c:pt idx="3">
                  <c:v>0</c:v>
                </c:pt>
                <c:pt idx="4">
                  <c:v>0</c:v>
                </c:pt>
                <c:pt idx="5">
                  <c:v>0.18181818181818182</c:v>
                </c:pt>
                <c:pt idx="6">
                  <c:v>8.3333333333333329E-2</c:v>
                </c:pt>
                <c:pt idx="7">
                  <c:v>0</c:v>
                </c:pt>
                <c:pt idx="8">
                  <c:v>0</c:v>
                </c:pt>
                <c:pt idx="9">
                  <c:v>0</c:v>
                </c:pt>
                <c:pt idx="10">
                  <c:v>0</c:v>
                </c:pt>
                <c:pt idx="11">
                  <c:v>0</c:v>
                </c:pt>
                <c:pt idx="12">
                  <c:v>0</c:v>
                </c:pt>
                <c:pt idx="13">
                  <c:v>0.14285714285714285</c:v>
                </c:pt>
                <c:pt idx="14">
                  <c:v>0</c:v>
                </c:pt>
                <c:pt idx="15">
                  <c:v>0</c:v>
                </c:pt>
                <c:pt idx="16">
                  <c:v>0</c:v>
                </c:pt>
              </c:numCache>
            </c:numRef>
          </c:val>
          <c:extLst>
            <c:ext xmlns:c16="http://schemas.microsoft.com/office/drawing/2014/chart" uri="{C3380CC4-5D6E-409C-BE32-E72D297353CC}">
              <c16:uniqueId val="{00000001-9F3F-462C-BF16-26EEBEB1034E}"/>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0.33333333333333331</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F3F-462C-BF16-26EEBEB1034E}"/>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0.84615384615384615</c:v>
                </c:pt>
                <c:pt idx="2">
                  <c:v>0</c:v>
                </c:pt>
                <c:pt idx="3">
                  <c:v>0</c:v>
                </c:pt>
                <c:pt idx="4">
                  <c:v>0</c:v>
                </c:pt>
                <c:pt idx="5">
                  <c:v>0.14893617021276595</c:v>
                </c:pt>
                <c:pt idx="6">
                  <c:v>0.21052631578947367</c:v>
                </c:pt>
                <c:pt idx="7">
                  <c:v>7.6923076923076927E-2</c:v>
                </c:pt>
                <c:pt idx="8">
                  <c:v>0</c:v>
                </c:pt>
                <c:pt idx="9">
                  <c:v>0</c:v>
                </c:pt>
                <c:pt idx="10">
                  <c:v>4.1666666666666664E-2</c:v>
                </c:pt>
                <c:pt idx="11">
                  <c:v>0</c:v>
                </c:pt>
                <c:pt idx="12">
                  <c:v>0</c:v>
                </c:pt>
                <c:pt idx="13">
                  <c:v>7.6923076923076927E-2</c:v>
                </c:pt>
                <c:pt idx="14">
                  <c:v>0</c:v>
                </c:pt>
                <c:pt idx="15">
                  <c:v>0</c:v>
                </c:pt>
                <c:pt idx="16">
                  <c:v>0</c:v>
                </c:pt>
              </c:numCache>
            </c:numRef>
          </c:val>
          <c:extLst>
            <c:ext xmlns:c16="http://schemas.microsoft.com/office/drawing/2014/chart" uri="{C3380CC4-5D6E-409C-BE32-E72D297353CC}">
              <c16:uniqueId val="{00000003-9F3F-462C-BF16-26EEBEB1034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mei-desofs/desofs2026-tue_crr_3/blob/ff5dce5c732d9649d8f6ac4460f32af19f100fe6/TeaShop/TeaShop/Application/Orders/OrderDTOs.cs" TargetMode="External"/><Relationship Id="rId3" Type="http://schemas.openxmlformats.org/officeDocument/2006/relationships/hyperlink" Target="https://github.com/mei-desofs/desofs2026-tue_crr_3/blob/ff5dce5c732d9649d8f6ac4460f32af19f100fe6/TeaShop/TeaShop/Application/Orders/OrderService.cs" TargetMode="External"/><Relationship Id="rId7" Type="http://schemas.openxmlformats.org/officeDocument/2006/relationships/hyperlink" Target="https://github.com/mei-desofs/desofs2026-tue_crr_3/blob/ff5dce5c732d9649d8f6ac4460f32af19f100fe6/TeaShop/TeaShop/Infrastructure/Persistence/Repositories/SessionRepository.cs" TargetMode="External"/><Relationship Id="rId2" Type="http://schemas.openxmlformats.org/officeDocument/2006/relationships/hyperlink" Target="https://github.com/mei-desofs/desofs2026-tue_crr_3/blob/ff5dce5c732d9649d8f6ac4460f32af19f100fe6/TeaShop/TeaShop/Infrastructure/Persistence/Repositories/TeaRepository.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Application/Orders/OrderService.cs" TargetMode="External"/><Relationship Id="rId5" Type="http://schemas.openxmlformats.org/officeDocument/2006/relationships/hyperlink" Target="https://github.com/mei-desofs/desofs2026-tue_crr_3/blob/ff5dce5c732d9649d8f6ac4460f32af19f100fe6/TeaShop/TeaShop/Infrastructure/Persistence/Repositories/OrderRepository.cs" TargetMode="External"/><Relationship Id="rId4" Type="http://schemas.openxmlformats.org/officeDocument/2006/relationships/hyperlink" Target="https://github.com/mei-desofs/desofs2026-tue_crr_3/blob/ff5dce5c732d9649d8f6ac4460f32af19f100fe6/TeaShop/TeaShop/Presentation/OrderController.c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mei-desofs/desofs2026-tue_crr_3/blob/ff5dce5c732d9649d8f6ac4460f32af19f100fe6/TeaShop/TeaShop/Domain/Orders/Order.cs" TargetMode="External"/><Relationship Id="rId7" Type="http://schemas.openxmlformats.org/officeDocument/2006/relationships/hyperlink" Target="https://github.com/mei-desofs/desofs2026-tue_crr_3/blob/ff5dce5c732d9649d8f6ac4460f32af19f100fe6/TeaShop/TeaShop/Presentation/AuthController.cs" TargetMode="External"/><Relationship Id="rId2" Type="http://schemas.openxmlformats.org/officeDocument/2006/relationships/hyperlink" Target="https://github.com/mei-desofs/desofs2026-tue_crr_3/blob/ff5dce5c732d9649d8f6ac4460f32af19f100fe6/TeaShop/TeaShop/Application/Orders/OrderService.cs" TargetMode="External"/><Relationship Id="rId1" Type="http://schemas.openxmlformats.org/officeDocument/2006/relationships/hyperlink" Target="https://github.com/mei-desofs/desofs2026-tue_crr_3/blob/ff5dce5c732d9649d8f6ac4460f32af19f100fe6/TeaShop/TeaShop/Application/Orders/OrderService.cs" TargetMode="External"/><Relationship Id="rId6" Type="http://schemas.openxmlformats.org/officeDocument/2006/relationships/hyperlink" Target="https://github.com/mei-desofs/desofs2026-tue_crr_3/blob/ff5dce5c732d9649d8f6ac4460f32af19f100fe6/TeaShop/TeaShop/Infrastructure/Security/RateLimiting.cs" TargetMode="External"/><Relationship Id="rId5" Type="http://schemas.openxmlformats.org/officeDocument/2006/relationships/hyperlink" Target="https://github.com/mei-desofs/desofs2026-tue_crr_3/blob/ff5dce5c732d9649d8f6ac4460f32af19f100fe6/TeaShop/TeaShop/Application/Orders/OrderService.cs" TargetMode="External"/><Relationship Id="rId4" Type="http://schemas.openxmlformats.org/officeDocument/2006/relationships/hyperlink" Target="https://github.com/mei-desofs/desofs2026-tue_crr_3/blob/ff5dce5c732d9649d8f6ac4460f32af19f100fe6/TeaShop/TeaShop/Domain/Orders/Order.c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github.com/mei-desofs/desofs2026-tue_crr_3/blob/8eac90d29c53f3f94c5afe7d0e70417f54ea3fd0/TeaShop/TeaShop/Infrastructure/Security/PasswordPolicyChecker.cs" TargetMode="External"/><Relationship Id="rId2" Type="http://schemas.openxmlformats.org/officeDocument/2006/relationships/hyperlink" Target="https://github.com/mei-desofs/desofs2026-tue_crr_3/blob/8eac90d29c53f3f94c5afe7d0e70417f54ea3fd0/TeaShop/TeaShop/Presentation/AuthController.cs" TargetMode="External"/><Relationship Id="rId1" Type="http://schemas.openxmlformats.org/officeDocument/2006/relationships/hyperlink" Target="https://github.com/mei-desofs/desofs2026-tue_crr_3/blob/8eac90d29c53f3f94c5afe7d0e70417f54ea3fd0/TeaShop/TeaShop/Infrastructure/Security/PasswordPolicyChecker.cs"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github.com/mei-desofs/desofs2026-tue_crr_3/blob/8f46a365d66633111f5bd3d941b700ef19be5f5e/TeaShop/TeaShop/Domain/IAM/SessionToken.cs" TargetMode="External"/><Relationship Id="rId2" Type="http://schemas.openxmlformats.org/officeDocument/2006/relationships/hyperlink" Target="https://github.com/mei-desofs/desofs2026-tue_crr_3/blob/8f46a365d66633111f5bd3d941b700ef19be5f5e/TeaShop/TeaShop/Application/Auth/AuthService.cs" TargetMode="External"/><Relationship Id="rId1" Type="http://schemas.openxmlformats.org/officeDocument/2006/relationships/hyperlink" Target="https://github.com/mei-desofs/desofs2026-tue_crr_3/blob/8f46a365d66633111f5bd3d941b700ef19be5f5e/TeaShop/TeaShop/Infrastructure/Middleware/IAMMiddleware.cs" TargetMode="External"/><Relationship Id="rId5" Type="http://schemas.openxmlformats.org/officeDocument/2006/relationships/hyperlink" Target="https://github.com/mei-desofs/desofs2026-tue_crr_3/blob/8f46a365d66633111f5bd3d941b700ef19be5f5e/TeaShop/TeaShop/Application/Auth/AuthService.cs" TargetMode="External"/><Relationship Id="rId4" Type="http://schemas.openxmlformats.org/officeDocument/2006/relationships/hyperlink" Target="https://github.com/mei-desofs/desofs2026-tue_crr_3/blob/8f46a365d66633111f5bd3d941b700ef19be5f5e/TeaShop/TeaShop/Infrastructure/Middleware/IAMMiddleware.c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Presentation/UserController.cs"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Infrastructure/Security/PasswordHashingService.cs"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mei-desofs/desofs2026-tue_crr_3/blob/8f46a365d66633111f5bd3d941b700ef19be5f5e/TeaShop/TeaShop/Application/Auth/AuthService.c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defaultColWidth="8.54296875" defaultRowHeight="14.5" x14ac:dyDescent="0.35"/>
  <cols>
    <col min="1" max="1" width="34" customWidth="1"/>
    <col min="2" max="13" width="11" customWidth="1"/>
  </cols>
  <sheetData>
    <row r="1" spans="1:16" ht="36" customHeight="1" x14ac:dyDescent="0.35">
      <c r="A1" s="28" t="s">
        <v>0</v>
      </c>
      <c r="B1" s="28"/>
      <c r="C1" s="28"/>
      <c r="D1" s="28"/>
      <c r="E1" s="28"/>
      <c r="F1" s="28"/>
      <c r="G1" s="28"/>
      <c r="H1" s="28"/>
      <c r="I1" s="28"/>
      <c r="J1" s="28"/>
      <c r="K1" s="28"/>
      <c r="L1" s="28"/>
      <c r="M1" s="28"/>
      <c r="N1" s="28"/>
      <c r="O1" s="28"/>
      <c r="P1" s="28"/>
    </row>
    <row r="2" spans="1:16" ht="20" customHeight="1" x14ac:dyDescent="0.35">
      <c r="A2" s="29"/>
      <c r="B2" s="29"/>
      <c r="C2" s="29"/>
      <c r="D2" s="29"/>
      <c r="E2" s="29"/>
      <c r="F2" s="29"/>
      <c r="G2" s="29"/>
      <c r="H2" s="29"/>
      <c r="I2" s="29"/>
      <c r="J2" s="29"/>
      <c r="K2" s="29"/>
      <c r="L2" s="29"/>
      <c r="M2" s="29"/>
      <c r="N2" s="29"/>
      <c r="O2" s="29"/>
      <c r="P2" s="29"/>
    </row>
    <row r="3" spans="1:16" ht="18" customHeight="1" x14ac:dyDescent="0.35">
      <c r="A3" s="30"/>
      <c r="B3" s="30"/>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1</v>
      </c>
      <c r="K6" s="5">
        <f t="shared" ref="K6:K13" si="2">IF(I6=0,"",J6/I6)</f>
        <v>0.33333333333333331</v>
      </c>
      <c r="L6" s="4">
        <f>COUNTIF('V1 - Encoding and Sanitization'!$F$2:$F$36,"Compliant")</f>
        <v>11</v>
      </c>
      <c r="M6" s="5">
        <f t="shared" ref="M6:M22" si="3">IF(B6=0,"",L6/B6)</f>
        <v>0.36666666666666664</v>
      </c>
    </row>
    <row r="7" spans="1:16" ht="18" customHeight="1" x14ac:dyDescent="0.3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7</v>
      </c>
      <c r="H7" s="8">
        <f t="shared" si="1"/>
        <v>1</v>
      </c>
      <c r="I7" s="7">
        <v>2</v>
      </c>
      <c r="J7" s="7">
        <f>COUNTIFS('V2 - Validation and Business Lo'!$F$2:$F$18,"Compliant",'V2 - Validation and Business Lo'!$E$2:$E$18,3)</f>
        <v>0</v>
      </c>
      <c r="K7" s="8">
        <f t="shared" si="2"/>
        <v>0</v>
      </c>
      <c r="L7" s="7">
        <f>COUNTIF('V2 - Validation and Business Lo'!$F$2:$F$18,"Compliant")</f>
        <v>11</v>
      </c>
      <c r="M7" s="8">
        <f t="shared" si="3"/>
        <v>0.84615384615384615</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5">
      <c r="A11" s="6" t="s">
        <v>19</v>
      </c>
      <c r="B11" s="7">
        <v>47</v>
      </c>
      <c r="C11" s="7">
        <v>13</v>
      </c>
      <c r="D11" s="7">
        <f>COUNTIFS('V6 - Authentication'!$F$2:$F$56,"Compliant",'V6 - Authentication'!$E$2:$E$56,1)</f>
        <v>3</v>
      </c>
      <c r="E11" s="8">
        <f t="shared" si="0"/>
        <v>0.23076923076923078</v>
      </c>
      <c r="F11" s="7">
        <v>22</v>
      </c>
      <c r="G11" s="7">
        <f>COUNTIFS('V6 - Authentication'!$F$2:$F$56,"Compliant",'V6 - Authentication'!$E$2:$E$56,2)</f>
        <v>4</v>
      </c>
      <c r="H11" s="8">
        <f t="shared" si="1"/>
        <v>0.18181818181818182</v>
      </c>
      <c r="I11" s="7">
        <v>12</v>
      </c>
      <c r="J11" s="7">
        <f>COUNTIFS('V6 - Authentication'!$F$2:$F$56,"Compliant",'V6 - Authentication'!$E$2:$E$56,3)</f>
        <v>0</v>
      </c>
      <c r="K11" s="8">
        <f t="shared" si="2"/>
        <v>0</v>
      </c>
      <c r="L11" s="7">
        <f>COUNTIF('V6 - Authentication'!$F$2:$F$56,"Compliant")</f>
        <v>7</v>
      </c>
      <c r="M11" s="8">
        <f t="shared" si="3"/>
        <v>0.14893617021276595</v>
      </c>
    </row>
    <row r="12" spans="1:16" ht="18" customHeight="1" x14ac:dyDescent="0.35">
      <c r="A12" s="3" t="s">
        <v>20</v>
      </c>
      <c r="B12" s="4">
        <v>19</v>
      </c>
      <c r="C12" s="4">
        <v>6</v>
      </c>
      <c r="D12" s="4">
        <f>COUNTIFS('V7 - Session Management'!$F$2:$F$26,"Compliant",'V7 - Session Management'!$E$2:$E$26,1)</f>
        <v>3</v>
      </c>
      <c r="E12" s="5">
        <f t="shared" si="0"/>
        <v>0.5</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4</v>
      </c>
      <c r="M12" s="5">
        <f t="shared" si="3"/>
        <v>0.21052631578947367</v>
      </c>
    </row>
    <row r="13" spans="1:16" ht="18" customHeight="1" x14ac:dyDescent="0.35">
      <c r="A13" s="6" t="s">
        <v>21</v>
      </c>
      <c r="B13" s="7">
        <v>13</v>
      </c>
      <c r="C13" s="7">
        <v>4</v>
      </c>
      <c r="D13" s="7">
        <f>COUNTIFS('V8 - Authorization'!$F$2:$F$18,"Compliant",'V8 - Authorization'!$E$2:$E$18,1)</f>
        <v>1</v>
      </c>
      <c r="E13" s="8">
        <f t="shared" si="0"/>
        <v>0.25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1</v>
      </c>
      <c r="M13" s="8">
        <f t="shared" si="3"/>
        <v>7.6923076923076927E-2</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14</v>
      </c>
      <c r="E23" s="11">
        <f>IFERROR(AVERAGE(E6:E22),"")</f>
        <v>0.17094017094017094</v>
      </c>
      <c r="F23" s="10">
        <f>SUM(F6:F22)</f>
        <v>183</v>
      </c>
      <c r="G23" s="10">
        <f>SUM(G6:G22)</f>
        <v>21</v>
      </c>
      <c r="H23" s="11">
        <f>IFERROR(AVERAGE(H6:H22),"")</f>
        <v>0.10759184056397678</v>
      </c>
      <c r="I23" s="10">
        <f>SUM(I6:I22)</f>
        <v>92</v>
      </c>
      <c r="J23" s="10">
        <f>SUM(J6:J22)</f>
        <v>1</v>
      </c>
      <c r="K23" s="11">
        <f>IFERROR(AVERAGE(K6:K22),"")</f>
        <v>2.0833333333333332E-2</v>
      </c>
      <c r="L23" s="10">
        <f>SUM(L6:L22)</f>
        <v>36</v>
      </c>
      <c r="M23" s="11">
        <f>IFERROR(AVERAGE(M6:M22),"")</f>
        <v>0.10398798937268075</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5" activePane="bottomLeft" state="frozen"/>
      <selection pane="bottomLeft" activeCell="H31" sqref="H31"/>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892</v>
      </c>
      <c r="G3" s="16" t="s">
        <v>921</v>
      </c>
      <c r="H3" s="24" t="s">
        <v>922</v>
      </c>
    </row>
    <row r="4" spans="1:8" ht="30" customHeight="1" x14ac:dyDescent="0.35">
      <c r="A4" s="19" t="s">
        <v>41</v>
      </c>
      <c r="B4" s="19" t="s">
        <v>42</v>
      </c>
      <c r="C4" s="20" t="s">
        <v>46</v>
      </c>
      <c r="D4" s="21" t="s">
        <v>47</v>
      </c>
      <c r="E4" s="17">
        <v>2</v>
      </c>
      <c r="F4" s="18" t="s">
        <v>892</v>
      </c>
      <c r="G4" s="21" t="s">
        <v>925</v>
      </c>
      <c r="H4" s="25" t="s">
        <v>927</v>
      </c>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924</v>
      </c>
      <c r="G6" s="16"/>
      <c r="H6" s="16"/>
    </row>
    <row r="7" spans="1:8" ht="30" customHeight="1" x14ac:dyDescent="0.35">
      <c r="A7" s="19" t="s">
        <v>48</v>
      </c>
      <c r="B7" s="19" t="s">
        <v>49</v>
      </c>
      <c r="C7" s="20" t="s">
        <v>52</v>
      </c>
      <c r="D7" s="21" t="s">
        <v>53</v>
      </c>
      <c r="E7" s="22">
        <v>1</v>
      </c>
      <c r="F7" s="18" t="s">
        <v>924</v>
      </c>
      <c r="G7" s="21"/>
      <c r="H7" s="21"/>
    </row>
    <row r="8" spans="1:8" ht="30" customHeight="1" x14ac:dyDescent="0.35">
      <c r="A8" s="14" t="s">
        <v>48</v>
      </c>
      <c r="B8" s="14" t="s">
        <v>49</v>
      </c>
      <c r="C8" s="15" t="s">
        <v>54</v>
      </c>
      <c r="D8" s="16" t="s">
        <v>55</v>
      </c>
      <c r="E8" s="22">
        <v>1</v>
      </c>
      <c r="F8" s="18" t="s">
        <v>892</v>
      </c>
      <c r="G8" s="16" t="s">
        <v>928</v>
      </c>
      <c r="H8" s="24" t="s">
        <v>929</v>
      </c>
    </row>
    <row r="9" spans="1:8" ht="30" customHeight="1" x14ac:dyDescent="0.35">
      <c r="A9" s="19" t="s">
        <v>48</v>
      </c>
      <c r="B9" s="19" t="s">
        <v>49</v>
      </c>
      <c r="C9" s="20" t="s">
        <v>56</v>
      </c>
      <c r="D9" s="21" t="s">
        <v>57</v>
      </c>
      <c r="E9" s="22">
        <v>1</v>
      </c>
      <c r="F9" s="18" t="s">
        <v>892</v>
      </c>
      <c r="G9" s="21" t="s">
        <v>931</v>
      </c>
      <c r="H9" s="25" t="s">
        <v>930</v>
      </c>
    </row>
    <row r="10" spans="1:8" ht="30" customHeight="1" x14ac:dyDescent="0.35">
      <c r="A10" s="14" t="s">
        <v>48</v>
      </c>
      <c r="B10" s="14" t="s">
        <v>49</v>
      </c>
      <c r="C10" s="15" t="s">
        <v>58</v>
      </c>
      <c r="D10" s="16" t="s">
        <v>59</v>
      </c>
      <c r="E10" s="22">
        <v>1</v>
      </c>
      <c r="F10" s="18" t="s">
        <v>924</v>
      </c>
      <c r="G10" s="16"/>
      <c r="H10" s="16"/>
    </row>
    <row r="11" spans="1:8" ht="30" customHeight="1" x14ac:dyDescent="0.35">
      <c r="A11" s="19" t="s">
        <v>48</v>
      </c>
      <c r="B11" s="19" t="s">
        <v>49</v>
      </c>
      <c r="C11" s="20" t="s">
        <v>60</v>
      </c>
      <c r="D11" s="21" t="s">
        <v>61</v>
      </c>
      <c r="E11" s="17">
        <v>2</v>
      </c>
      <c r="F11" s="18" t="s">
        <v>924</v>
      </c>
      <c r="G11" s="21"/>
      <c r="H11" s="21"/>
    </row>
    <row r="12" spans="1:8" ht="30" customHeight="1" x14ac:dyDescent="0.35">
      <c r="A12" s="14" t="s">
        <v>48</v>
      </c>
      <c r="B12" s="14" t="s">
        <v>49</v>
      </c>
      <c r="C12" s="15" t="s">
        <v>62</v>
      </c>
      <c r="D12" s="16" t="s">
        <v>63</v>
      </c>
      <c r="E12" s="17">
        <v>2</v>
      </c>
      <c r="F12" s="18" t="s">
        <v>924</v>
      </c>
      <c r="G12" s="16"/>
      <c r="H12" s="16"/>
    </row>
    <row r="13" spans="1:8" ht="30" customHeight="1" x14ac:dyDescent="0.35">
      <c r="A13" s="19" t="s">
        <v>48</v>
      </c>
      <c r="B13" s="19" t="s">
        <v>49</v>
      </c>
      <c r="C13" s="20" t="s">
        <v>64</v>
      </c>
      <c r="D13" s="21" t="s">
        <v>65</v>
      </c>
      <c r="E13" s="17">
        <v>2</v>
      </c>
      <c r="F13" s="18" t="s">
        <v>924</v>
      </c>
      <c r="G13" s="21"/>
      <c r="H13" s="21"/>
    </row>
    <row r="14" spans="1:8" ht="30" customHeight="1" x14ac:dyDescent="0.35">
      <c r="A14" s="14" t="s">
        <v>48</v>
      </c>
      <c r="B14" s="14" t="s">
        <v>49</v>
      </c>
      <c r="C14" s="15" t="s">
        <v>66</v>
      </c>
      <c r="D14" s="16" t="s">
        <v>67</v>
      </c>
      <c r="E14" s="17">
        <v>2</v>
      </c>
      <c r="F14" s="18" t="s">
        <v>924</v>
      </c>
      <c r="G14" s="16"/>
      <c r="H14" s="16"/>
    </row>
    <row r="15" spans="1:8" ht="30" customHeight="1" x14ac:dyDescent="0.35">
      <c r="A15" s="19" t="s">
        <v>48</v>
      </c>
      <c r="B15" s="19" t="s">
        <v>49</v>
      </c>
      <c r="C15" s="20" t="s">
        <v>68</v>
      </c>
      <c r="D15" s="21" t="s">
        <v>69</v>
      </c>
      <c r="E15" s="23">
        <v>3</v>
      </c>
      <c r="F15" s="18" t="s">
        <v>892</v>
      </c>
      <c r="G15" s="21" t="s">
        <v>926</v>
      </c>
      <c r="H15" s="25" t="s">
        <v>923</v>
      </c>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924</v>
      </c>
      <c r="G17" s="16"/>
      <c r="H17" s="16"/>
    </row>
    <row r="18" spans="1:8" ht="30" customHeight="1" x14ac:dyDescent="0.35">
      <c r="A18" s="19" t="s">
        <v>70</v>
      </c>
      <c r="B18" s="19" t="s">
        <v>71</v>
      </c>
      <c r="C18" s="20" t="s">
        <v>74</v>
      </c>
      <c r="D18" s="21" t="s">
        <v>75</v>
      </c>
      <c r="E18" s="22">
        <v>1</v>
      </c>
      <c r="F18" s="18" t="s">
        <v>924</v>
      </c>
      <c r="G18" s="21"/>
      <c r="H18" s="21"/>
    </row>
    <row r="19" spans="1:8" ht="30" customHeight="1" x14ac:dyDescent="0.35">
      <c r="A19" s="14" t="s">
        <v>70</v>
      </c>
      <c r="B19" s="14" t="s">
        <v>71</v>
      </c>
      <c r="C19" s="15" t="s">
        <v>76</v>
      </c>
      <c r="D19" s="16" t="s">
        <v>77</v>
      </c>
      <c r="E19" s="17">
        <v>2</v>
      </c>
      <c r="F19" s="18" t="s">
        <v>892</v>
      </c>
      <c r="G19" s="16" t="s">
        <v>932</v>
      </c>
      <c r="H19" s="24" t="s">
        <v>933</v>
      </c>
    </row>
    <row r="20" spans="1:8" ht="30" customHeight="1" x14ac:dyDescent="0.35">
      <c r="A20" s="19" t="s">
        <v>70</v>
      </c>
      <c r="B20" s="19" t="s">
        <v>71</v>
      </c>
      <c r="C20" s="20" t="s">
        <v>78</v>
      </c>
      <c r="D20" s="21" t="s">
        <v>79</v>
      </c>
      <c r="E20" s="17">
        <v>2</v>
      </c>
      <c r="F20" s="18" t="s">
        <v>924</v>
      </c>
      <c r="G20" s="21"/>
      <c r="H20" s="21"/>
    </row>
    <row r="21" spans="1:8" ht="30" customHeight="1" x14ac:dyDescent="0.35">
      <c r="A21" s="14" t="s">
        <v>70</v>
      </c>
      <c r="B21" s="14" t="s">
        <v>71</v>
      </c>
      <c r="C21" s="15" t="s">
        <v>80</v>
      </c>
      <c r="D21" s="16" t="s">
        <v>81</v>
      </c>
      <c r="E21" s="17">
        <v>2</v>
      </c>
      <c r="F21" s="18" t="s">
        <v>924</v>
      </c>
      <c r="G21" s="16"/>
      <c r="H21" s="16"/>
    </row>
    <row r="22" spans="1:8" ht="30" customHeight="1" x14ac:dyDescent="0.35">
      <c r="A22" s="19" t="s">
        <v>70</v>
      </c>
      <c r="B22" s="19" t="s">
        <v>71</v>
      </c>
      <c r="C22" s="20" t="s">
        <v>82</v>
      </c>
      <c r="D22" s="21" t="s">
        <v>83</v>
      </c>
      <c r="E22" s="17">
        <v>2</v>
      </c>
      <c r="F22" s="18" t="s">
        <v>924</v>
      </c>
      <c r="G22" s="21"/>
      <c r="H22" s="21"/>
    </row>
    <row r="23" spans="1:8" ht="30" customHeight="1" x14ac:dyDescent="0.35">
      <c r="A23" s="14" t="s">
        <v>70</v>
      </c>
      <c r="B23" s="14" t="s">
        <v>71</v>
      </c>
      <c r="C23" s="15" t="s">
        <v>84</v>
      </c>
      <c r="D23" s="16" t="s">
        <v>85</v>
      </c>
      <c r="E23" s="17">
        <v>2</v>
      </c>
      <c r="F23" s="18" t="s">
        <v>924</v>
      </c>
      <c r="G23" s="16"/>
      <c r="H23" s="16"/>
    </row>
    <row r="24" spans="1:8" ht="30" customHeight="1" x14ac:dyDescent="0.35">
      <c r="A24" s="19" t="s">
        <v>70</v>
      </c>
      <c r="B24" s="19" t="s">
        <v>71</v>
      </c>
      <c r="C24" s="20" t="s">
        <v>86</v>
      </c>
      <c r="D24" s="21" t="s">
        <v>87</v>
      </c>
      <c r="E24" s="17">
        <v>2</v>
      </c>
      <c r="F24" s="18" t="s">
        <v>924</v>
      </c>
      <c r="G24" s="21"/>
      <c r="H24" s="21"/>
    </row>
    <row r="25" spans="1:8" ht="30" customHeight="1" x14ac:dyDescent="0.35">
      <c r="A25" s="14" t="s">
        <v>70</v>
      </c>
      <c r="B25" s="14" t="s">
        <v>71</v>
      </c>
      <c r="C25" s="15" t="s">
        <v>88</v>
      </c>
      <c r="D25" s="16" t="s">
        <v>89</v>
      </c>
      <c r="E25" s="17">
        <v>2</v>
      </c>
      <c r="F25" s="18" t="s">
        <v>924</v>
      </c>
      <c r="G25" s="16"/>
      <c r="H25" s="16"/>
    </row>
    <row r="26" spans="1:8" ht="30" customHeight="1" x14ac:dyDescent="0.35">
      <c r="A26" s="19" t="s">
        <v>70</v>
      </c>
      <c r="B26" s="19" t="s">
        <v>71</v>
      </c>
      <c r="C26" s="20" t="s">
        <v>90</v>
      </c>
      <c r="D26" s="21" t="s">
        <v>91</v>
      </c>
      <c r="E26" s="17">
        <v>2</v>
      </c>
      <c r="F26" s="18" t="s">
        <v>892</v>
      </c>
      <c r="G26" s="21" t="s">
        <v>934</v>
      </c>
      <c r="H26" s="21" t="s">
        <v>935</v>
      </c>
    </row>
    <row r="27" spans="1:8" ht="30" customHeight="1" x14ac:dyDescent="0.35">
      <c r="A27" s="14" t="s">
        <v>70</v>
      </c>
      <c r="B27" s="14" t="s">
        <v>71</v>
      </c>
      <c r="C27" s="15" t="s">
        <v>92</v>
      </c>
      <c r="D27" s="16" t="s">
        <v>93</v>
      </c>
      <c r="E27" s="17">
        <v>2</v>
      </c>
      <c r="F27" s="18" t="s">
        <v>924</v>
      </c>
      <c r="G27" s="16"/>
      <c r="H27" s="16"/>
    </row>
    <row r="28" spans="1:8" ht="30" customHeight="1" x14ac:dyDescent="0.35">
      <c r="A28" s="19" t="s">
        <v>70</v>
      </c>
      <c r="B28" s="19" t="s">
        <v>71</v>
      </c>
      <c r="C28" s="20" t="s">
        <v>94</v>
      </c>
      <c r="D28" s="21" t="s">
        <v>95</v>
      </c>
      <c r="E28" s="23">
        <v>3</v>
      </c>
      <c r="F28" s="18" t="s">
        <v>924</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892</v>
      </c>
      <c r="G30" s="16" t="s">
        <v>936</v>
      </c>
      <c r="H30" s="16"/>
    </row>
    <row r="31" spans="1:8" ht="30" customHeight="1" x14ac:dyDescent="0.35">
      <c r="A31" s="19" t="s">
        <v>96</v>
      </c>
      <c r="B31" s="19" t="s">
        <v>97</v>
      </c>
      <c r="C31" s="20" t="s">
        <v>100</v>
      </c>
      <c r="D31" s="21" t="s">
        <v>101</v>
      </c>
      <c r="E31" s="17">
        <v>2</v>
      </c>
      <c r="F31" s="18" t="s">
        <v>892</v>
      </c>
      <c r="G31" s="21" t="s">
        <v>937</v>
      </c>
      <c r="H31" s="25" t="s">
        <v>938</v>
      </c>
    </row>
    <row r="32" spans="1:8" ht="30" customHeight="1" x14ac:dyDescent="0.35">
      <c r="A32" s="14" t="s">
        <v>96</v>
      </c>
      <c r="B32" s="14" t="s">
        <v>97</v>
      </c>
      <c r="C32" s="15" t="s">
        <v>102</v>
      </c>
      <c r="D32" s="16" t="s">
        <v>103</v>
      </c>
      <c r="E32" s="17">
        <v>2</v>
      </c>
      <c r="F32" s="18" t="s">
        <v>892</v>
      </c>
      <c r="G32" s="16" t="s">
        <v>939</v>
      </c>
      <c r="H32" s="24" t="s">
        <v>940</v>
      </c>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924</v>
      </c>
      <c r="G34" s="16"/>
      <c r="H34" s="16"/>
    </row>
    <row r="35" spans="1:8" ht="30" customHeight="1" x14ac:dyDescent="0.35">
      <c r="A35" s="19" t="s">
        <v>104</v>
      </c>
      <c r="B35" s="19" t="s">
        <v>105</v>
      </c>
      <c r="C35" s="20" t="s">
        <v>108</v>
      </c>
      <c r="D35" s="21" t="s">
        <v>109</v>
      </c>
      <c r="E35" s="17">
        <v>2</v>
      </c>
      <c r="F35" s="18" t="s">
        <v>892</v>
      </c>
      <c r="G35" s="21" t="s">
        <v>941</v>
      </c>
      <c r="H35" s="21" t="s">
        <v>942</v>
      </c>
    </row>
    <row r="36" spans="1:8" ht="30" customHeight="1" x14ac:dyDescent="0.35">
      <c r="A36" s="14" t="s">
        <v>104</v>
      </c>
      <c r="B36" s="14" t="s">
        <v>105</v>
      </c>
      <c r="C36" s="15" t="s">
        <v>110</v>
      </c>
      <c r="D36" s="16" t="s">
        <v>111</v>
      </c>
      <c r="E36" s="23">
        <v>3</v>
      </c>
      <c r="F36" s="18" t="s">
        <v>924</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hyperlinks>
    <hyperlink ref="H3" r:id="rId1" location="L235" xr:uid="{A84892FB-9B9D-4523-9A7E-2DA48FCFCA1F}"/>
    <hyperlink ref="H4" r:id="rId2" location="L8" xr:uid="{BCA6D288-8A4B-4A20-854D-994C10E48932}"/>
    <hyperlink ref="H15" r:id="rId3" location="L258" xr:uid="{25DD70A4-00A4-4831-9049-70628FB5F38C}"/>
    <hyperlink ref="H8" r:id="rId4" location="L11" xr:uid="{3B438980-FE39-4E81-B42B-2CC167323DC9}"/>
    <hyperlink ref="H9" r:id="rId5" location="L10" xr:uid="{08CC7360-7339-4631-994D-0EB25FEAA689}"/>
    <hyperlink ref="H32" r:id="rId6" location="L212" xr:uid="{E5DAB9EF-00BE-4435-A7C3-C2D3D103CCF6}"/>
    <hyperlink ref="H19" r:id="rId7" xr:uid="{EA877C8B-DE1F-48BC-A5DF-EFCEF855CB16}"/>
    <hyperlink ref="H31" r:id="rId8" location="L7" xr:uid="{79E4D5CA-BA87-4EF3-A1E7-91EA186E8A66}"/>
  </hyperlink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8"/>
  <sheetViews>
    <sheetView tabSelected="1" topLeftCell="E1" zoomScale="75" zoomScaleNormal="75" workbookViewId="0">
      <pane ySplit="1" topLeftCell="A2" activePane="bottomLeft" state="frozen"/>
      <selection pane="bottomLeft" activeCell="H5" sqref="H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t="s">
        <v>959</v>
      </c>
      <c r="H3" s="16" t="s">
        <v>960</v>
      </c>
    </row>
    <row r="4" spans="1:8" ht="30" customHeight="1" x14ac:dyDescent="0.35">
      <c r="A4" s="19" t="s">
        <v>112</v>
      </c>
      <c r="B4" s="19" t="s">
        <v>113</v>
      </c>
      <c r="C4" s="20" t="s">
        <v>116</v>
      </c>
      <c r="D4" s="21" t="s">
        <v>117</v>
      </c>
      <c r="E4" s="17">
        <v>2</v>
      </c>
      <c r="F4" s="18" t="s">
        <v>892</v>
      </c>
      <c r="G4" s="21" t="s">
        <v>961</v>
      </c>
      <c r="H4" s="21" t="s">
        <v>962</v>
      </c>
    </row>
    <row r="5" spans="1:8" ht="30" customHeight="1" x14ac:dyDescent="0.35">
      <c r="A5" s="14" t="s">
        <v>112</v>
      </c>
      <c r="B5" s="14" t="s">
        <v>113</v>
      </c>
      <c r="C5" s="15" t="s">
        <v>118</v>
      </c>
      <c r="D5" s="16" t="s">
        <v>119</v>
      </c>
      <c r="E5" s="17">
        <v>2</v>
      </c>
      <c r="F5" s="18" t="s">
        <v>892</v>
      </c>
      <c r="G5" s="16" t="s">
        <v>963</v>
      </c>
      <c r="H5" s="16" t="s">
        <v>964</v>
      </c>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892</v>
      </c>
      <c r="G7" s="16" t="s">
        <v>943</v>
      </c>
      <c r="H7" s="16" t="s">
        <v>938</v>
      </c>
    </row>
    <row r="8" spans="1:8" ht="30" customHeight="1" x14ac:dyDescent="0.35">
      <c r="A8" s="19" t="s">
        <v>120</v>
      </c>
      <c r="B8" s="19" t="s">
        <v>121</v>
      </c>
      <c r="C8" s="20" t="s">
        <v>124</v>
      </c>
      <c r="D8" s="21" t="s">
        <v>125</v>
      </c>
      <c r="E8" s="22">
        <v>1</v>
      </c>
      <c r="F8" s="18" t="s">
        <v>892</v>
      </c>
      <c r="G8" s="21" t="s">
        <v>944</v>
      </c>
      <c r="H8" s="25" t="s">
        <v>945</v>
      </c>
    </row>
    <row r="9" spans="1:8" ht="30" customHeight="1" x14ac:dyDescent="0.35">
      <c r="A9" s="14" t="s">
        <v>120</v>
      </c>
      <c r="B9" s="14" t="s">
        <v>121</v>
      </c>
      <c r="C9" s="15" t="s">
        <v>126</v>
      </c>
      <c r="D9" s="16" t="s">
        <v>127</v>
      </c>
      <c r="E9" s="17">
        <v>2</v>
      </c>
      <c r="F9" s="18" t="s">
        <v>892</v>
      </c>
      <c r="G9" s="16" t="s">
        <v>946</v>
      </c>
      <c r="H9" s="24" t="s">
        <v>947</v>
      </c>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892</v>
      </c>
      <c r="G11" s="16" t="s">
        <v>948</v>
      </c>
      <c r="H11" s="24" t="s">
        <v>949</v>
      </c>
    </row>
    <row r="12" spans="1:8" ht="30" customHeight="1" x14ac:dyDescent="0.35">
      <c r="A12" s="19" t="s">
        <v>128</v>
      </c>
      <c r="B12" s="19" t="s">
        <v>129</v>
      </c>
      <c r="C12" s="20" t="s">
        <v>132</v>
      </c>
      <c r="D12" s="21" t="s">
        <v>133</v>
      </c>
      <c r="E12" s="17">
        <v>2</v>
      </c>
      <c r="F12" s="18" t="s">
        <v>892</v>
      </c>
      <c r="G12" s="21" t="s">
        <v>950</v>
      </c>
      <c r="H12" s="25" t="s">
        <v>952</v>
      </c>
    </row>
    <row r="13" spans="1:8" ht="30" customHeight="1" x14ac:dyDescent="0.35">
      <c r="A13" s="14" t="s">
        <v>128</v>
      </c>
      <c r="B13" s="14" t="s">
        <v>129</v>
      </c>
      <c r="C13" s="15" t="s">
        <v>134</v>
      </c>
      <c r="D13" s="16" t="s">
        <v>135</v>
      </c>
      <c r="E13" s="17">
        <v>2</v>
      </c>
      <c r="F13" s="18" t="s">
        <v>892</v>
      </c>
      <c r="G13" s="16" t="s">
        <v>951</v>
      </c>
      <c r="H13" s="24" t="s">
        <v>953</v>
      </c>
    </row>
    <row r="14" spans="1:8" ht="30" customHeight="1" x14ac:dyDescent="0.35">
      <c r="A14" s="19" t="s">
        <v>128</v>
      </c>
      <c r="B14" s="19" t="s">
        <v>129</v>
      </c>
      <c r="C14" s="20" t="s">
        <v>136</v>
      </c>
      <c r="D14" s="21" t="s">
        <v>137</v>
      </c>
      <c r="E14" s="17">
        <v>2</v>
      </c>
      <c r="F14" s="18" t="s">
        <v>892</v>
      </c>
      <c r="G14" s="21" t="s">
        <v>957</v>
      </c>
      <c r="H14" s="21" t="s">
        <v>958</v>
      </c>
    </row>
    <row r="15" spans="1:8" ht="30" customHeight="1" x14ac:dyDescent="0.35">
      <c r="A15" s="14" t="s">
        <v>128</v>
      </c>
      <c r="B15" s="14" t="s">
        <v>129</v>
      </c>
      <c r="C15" s="15" t="s">
        <v>138</v>
      </c>
      <c r="D15" s="16" t="s">
        <v>139</v>
      </c>
      <c r="E15" s="23">
        <v>3</v>
      </c>
      <c r="F15" s="18" t="s">
        <v>924</v>
      </c>
      <c r="G15" s="16"/>
      <c r="H15" s="16"/>
    </row>
    <row r="16" spans="1:8" ht="18" customHeight="1" x14ac:dyDescent="0.35">
      <c r="A16" s="13" t="s">
        <v>140</v>
      </c>
      <c r="B16" s="13" t="s">
        <v>141</v>
      </c>
      <c r="C16" s="13"/>
      <c r="D16" s="13"/>
      <c r="E16" s="13"/>
      <c r="F16" s="13"/>
      <c r="G16" s="13"/>
      <c r="H16" s="13"/>
    </row>
    <row r="17" spans="1:9" ht="30" customHeight="1" x14ac:dyDescent="0.35">
      <c r="A17" s="14" t="s">
        <v>140</v>
      </c>
      <c r="B17" s="14" t="s">
        <v>141</v>
      </c>
      <c r="C17" s="15" t="s">
        <v>142</v>
      </c>
      <c r="D17" s="16" t="s">
        <v>143</v>
      </c>
      <c r="E17" s="17">
        <v>2</v>
      </c>
      <c r="F17" s="18" t="s">
        <v>892</v>
      </c>
      <c r="G17" s="16" t="s">
        <v>954</v>
      </c>
      <c r="H17" s="24" t="s">
        <v>955</v>
      </c>
      <c r="I17" s="27" t="s">
        <v>956</v>
      </c>
    </row>
    <row r="18" spans="1:9" ht="30" customHeight="1" x14ac:dyDescent="0.35">
      <c r="A18" s="19" t="s">
        <v>140</v>
      </c>
      <c r="B18" s="19" t="s">
        <v>141</v>
      </c>
      <c r="C18" s="20" t="s">
        <v>144</v>
      </c>
      <c r="D18" s="21" t="s">
        <v>145</v>
      </c>
      <c r="E18" s="23">
        <v>3</v>
      </c>
      <c r="F18" s="18" t="s">
        <v>924</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8" r:id="rId1" location="L190" xr:uid="{598CAFA4-055B-4A86-9723-2701E48D6B5E}"/>
    <hyperlink ref="H9" r:id="rId2" location="L197" xr:uid="{E7854916-D85D-4CE1-863D-0D2D57C64538}"/>
    <hyperlink ref="H11" r:id="rId3" location="L42" xr:uid="{3FAE36F8-A7C4-4842-87C8-EDB25C1DDC8E}"/>
    <hyperlink ref="H12" r:id="rId4" location="L39" xr:uid="{3EDD0CD1-7836-4B5E-A687-06AD31F95DBF}"/>
    <hyperlink ref="H13" r:id="rId5" location="L38" xr:uid="{A91F97D6-FD86-4237-AEBD-473B19266593}"/>
    <hyperlink ref="H17" r:id="rId6" location="L7" xr:uid="{D773793C-1794-4A22-8B98-45097F9F4EC2}"/>
    <hyperlink ref="I17" r:id="rId7" location="L28" xr:uid="{937F3CFB-6A68-4930-B95F-B6AE300E54FD}"/>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45</v>
      </c>
      <c r="G3" s="16"/>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45</v>
      </c>
      <c r="G3" s="16"/>
      <c r="H3" s="16"/>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45</v>
      </c>
      <c r="G5" s="16"/>
      <c r="H5" s="16"/>
    </row>
    <row r="6" spans="1:8" ht="30" customHeight="1" x14ac:dyDescent="0.35">
      <c r="A6" s="19" t="s">
        <v>266</v>
      </c>
      <c r="B6" s="19" t="s">
        <v>267</v>
      </c>
      <c r="C6" s="20" t="s">
        <v>270</v>
      </c>
      <c r="D6" s="21" t="s">
        <v>271</v>
      </c>
      <c r="E6" s="22">
        <v>1</v>
      </c>
      <c r="F6" s="18" t="s">
        <v>45</v>
      </c>
      <c r="G6" s="21"/>
      <c r="H6" s="21"/>
    </row>
    <row r="7" spans="1:8" ht="30" customHeight="1" x14ac:dyDescent="0.35">
      <c r="A7" s="14" t="s">
        <v>266</v>
      </c>
      <c r="B7" s="14" t="s">
        <v>267</v>
      </c>
      <c r="C7" s="15" t="s">
        <v>272</v>
      </c>
      <c r="D7" s="16" t="s">
        <v>273</v>
      </c>
      <c r="E7" s="17">
        <v>2</v>
      </c>
      <c r="F7" s="18" t="s">
        <v>45</v>
      </c>
      <c r="G7" s="16"/>
      <c r="H7" s="16"/>
    </row>
    <row r="8" spans="1:8" ht="30" customHeight="1" x14ac:dyDescent="0.35">
      <c r="A8" s="19" t="s">
        <v>266</v>
      </c>
      <c r="B8" s="19" t="s">
        <v>267</v>
      </c>
      <c r="C8" s="20" t="s">
        <v>274</v>
      </c>
      <c r="D8" s="21" t="s">
        <v>275</v>
      </c>
      <c r="E8" s="23">
        <v>3</v>
      </c>
      <c r="F8" s="18" t="s">
        <v>45</v>
      </c>
      <c r="G8" s="21"/>
      <c r="H8" s="21"/>
    </row>
    <row r="9" spans="1:8" ht="30" customHeight="1" x14ac:dyDescent="0.35">
      <c r="A9" s="14" t="s">
        <v>266</v>
      </c>
      <c r="B9" s="14" t="s">
        <v>267</v>
      </c>
      <c r="C9" s="15" t="s">
        <v>276</v>
      </c>
      <c r="D9" s="16" t="s">
        <v>277</v>
      </c>
      <c r="E9" s="23">
        <v>3</v>
      </c>
      <c r="F9" s="18" t="s">
        <v>45</v>
      </c>
      <c r="G9" s="16"/>
      <c r="H9" s="16"/>
    </row>
    <row r="10" spans="1:8" ht="30" customHeight="1" x14ac:dyDescent="0.35">
      <c r="A10" s="19" t="s">
        <v>266</v>
      </c>
      <c r="B10" s="19" t="s">
        <v>267</v>
      </c>
      <c r="C10" s="20" t="s">
        <v>278</v>
      </c>
      <c r="D10" s="21" t="s">
        <v>279</v>
      </c>
      <c r="E10" s="23">
        <v>3</v>
      </c>
      <c r="F10" s="18" t="s">
        <v>45</v>
      </c>
      <c r="G10" s="21"/>
      <c r="H10" s="21"/>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45</v>
      </c>
      <c r="G12" s="16"/>
      <c r="H12" s="16"/>
    </row>
    <row r="13" spans="1:8" ht="30" customHeight="1" x14ac:dyDescent="0.35">
      <c r="A13" s="19" t="s">
        <v>280</v>
      </c>
      <c r="B13" s="19" t="s">
        <v>281</v>
      </c>
      <c r="C13" s="20" t="s">
        <v>284</v>
      </c>
      <c r="D13" s="21" t="s">
        <v>285</v>
      </c>
      <c r="E13" s="22">
        <v>1</v>
      </c>
      <c r="F13" s="18" t="s">
        <v>45</v>
      </c>
      <c r="G13" s="21"/>
      <c r="H13" s="21"/>
    </row>
    <row r="14" spans="1:8" ht="30" customHeight="1" x14ac:dyDescent="0.35">
      <c r="A14" s="14" t="s">
        <v>280</v>
      </c>
      <c r="B14" s="14" t="s">
        <v>281</v>
      </c>
      <c r="C14" s="15" t="s">
        <v>286</v>
      </c>
      <c r="D14" s="16" t="s">
        <v>287</v>
      </c>
      <c r="E14" s="23">
        <v>3</v>
      </c>
      <c r="F14" s="18" t="s">
        <v>45</v>
      </c>
      <c r="G14" s="16"/>
      <c r="H14" s="16"/>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45</v>
      </c>
      <c r="G16" s="16"/>
      <c r="H16" s="16"/>
    </row>
    <row r="17" spans="1:8" ht="30" customHeight="1" x14ac:dyDescent="0.35">
      <c r="A17" s="19" t="s">
        <v>288</v>
      </c>
      <c r="B17" s="19" t="s">
        <v>289</v>
      </c>
      <c r="C17" s="20" t="s">
        <v>292</v>
      </c>
      <c r="D17" s="21" t="s">
        <v>293</v>
      </c>
      <c r="E17" s="17">
        <v>2</v>
      </c>
      <c r="F17" s="18" t="s">
        <v>45</v>
      </c>
      <c r="G17" s="21"/>
      <c r="H17" s="21"/>
    </row>
    <row r="18" spans="1:8" ht="30" customHeight="1" x14ac:dyDescent="0.3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C1" zoomScale="75" zoomScaleNormal="75" workbookViewId="0">
      <pane ySplit="1" topLeftCell="A2" activePane="bottomLeft" state="frozen"/>
      <selection pane="bottomLeft" activeCell="D14" sqref="D1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45</v>
      </c>
      <c r="G3" s="16"/>
      <c r="H3" s="16"/>
    </row>
    <row r="4" spans="1:8" ht="30" customHeight="1" x14ac:dyDescent="0.35">
      <c r="A4" s="19" t="s">
        <v>296</v>
      </c>
      <c r="B4" s="19" t="s">
        <v>297</v>
      </c>
      <c r="C4" s="20" t="s">
        <v>300</v>
      </c>
      <c r="D4" s="21" t="s">
        <v>301</v>
      </c>
      <c r="E4" s="17">
        <v>2</v>
      </c>
      <c r="F4" s="18" t="s">
        <v>45</v>
      </c>
      <c r="G4" s="21"/>
      <c r="H4" s="21"/>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892</v>
      </c>
      <c r="G7" s="16" t="s">
        <v>893</v>
      </c>
      <c r="H7" s="24" t="s">
        <v>894</v>
      </c>
    </row>
    <row r="8" spans="1:8" ht="30" customHeight="1" x14ac:dyDescent="0.35">
      <c r="A8" s="19" t="s">
        <v>304</v>
      </c>
      <c r="B8" s="19" t="s">
        <v>305</v>
      </c>
      <c r="C8" s="20" t="s">
        <v>308</v>
      </c>
      <c r="D8" s="21" t="s">
        <v>309</v>
      </c>
      <c r="E8" s="22">
        <v>1</v>
      </c>
      <c r="F8" s="18" t="s">
        <v>892</v>
      </c>
      <c r="G8" s="21" t="s">
        <v>895</v>
      </c>
      <c r="H8" s="25" t="s">
        <v>896</v>
      </c>
    </row>
    <row r="9" spans="1:8" ht="30" customHeight="1" x14ac:dyDescent="0.35">
      <c r="A9" s="14" t="s">
        <v>304</v>
      </c>
      <c r="B9" s="14" t="s">
        <v>305</v>
      </c>
      <c r="C9" s="15" t="s">
        <v>310</v>
      </c>
      <c r="D9" s="16" t="s">
        <v>311</v>
      </c>
      <c r="E9" s="22">
        <v>1</v>
      </c>
      <c r="F9" s="18" t="s">
        <v>892</v>
      </c>
      <c r="G9" s="16" t="s">
        <v>904</v>
      </c>
      <c r="H9" s="16" t="s">
        <v>897</v>
      </c>
    </row>
    <row r="10" spans="1:8" ht="30" customHeight="1" x14ac:dyDescent="0.35">
      <c r="A10" s="19" t="s">
        <v>304</v>
      </c>
      <c r="B10" s="19" t="s">
        <v>305</v>
      </c>
      <c r="C10" s="20" t="s">
        <v>312</v>
      </c>
      <c r="D10" s="21" t="s">
        <v>313</v>
      </c>
      <c r="E10" s="22">
        <v>1</v>
      </c>
      <c r="F10" s="18" t="s">
        <v>45</v>
      </c>
      <c r="G10" s="21"/>
      <c r="H10" s="21"/>
    </row>
    <row r="11" spans="1:8" ht="30" customHeight="1" x14ac:dyDescent="0.35">
      <c r="A11" s="14" t="s">
        <v>304</v>
      </c>
      <c r="B11" s="14" t="s">
        <v>305</v>
      </c>
      <c r="C11" s="15" t="s">
        <v>314</v>
      </c>
      <c r="D11" s="16" t="s">
        <v>315</v>
      </c>
      <c r="E11" s="22">
        <v>1</v>
      </c>
      <c r="F11" s="18" t="s">
        <v>45</v>
      </c>
      <c r="G11" s="16"/>
      <c r="H11" s="16"/>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H14" s="21"/>
    </row>
    <row r="15" spans="1:8" ht="30" customHeight="1" x14ac:dyDescent="0.35">
      <c r="A15" s="14" t="s">
        <v>304</v>
      </c>
      <c r="B15" s="14" t="s">
        <v>305</v>
      </c>
      <c r="C15" s="15" t="s">
        <v>322</v>
      </c>
      <c r="D15" s="16" t="s">
        <v>323</v>
      </c>
      <c r="E15" s="17">
        <v>2</v>
      </c>
      <c r="F15" s="18" t="s">
        <v>892</v>
      </c>
      <c r="G15" s="26" t="s">
        <v>905</v>
      </c>
      <c r="H15" s="16" t="s">
        <v>903</v>
      </c>
    </row>
    <row r="16" spans="1:8" ht="30" customHeight="1" x14ac:dyDescent="0.35">
      <c r="A16" s="19" t="s">
        <v>304</v>
      </c>
      <c r="B16" s="19" t="s">
        <v>305</v>
      </c>
      <c r="C16" s="20" t="s">
        <v>324</v>
      </c>
      <c r="D16" s="21" t="s">
        <v>325</v>
      </c>
      <c r="E16" s="17">
        <v>2</v>
      </c>
      <c r="F16" s="18" t="s">
        <v>892</v>
      </c>
      <c r="G16" s="21" t="s">
        <v>900</v>
      </c>
      <c r="H16" s="21"/>
    </row>
    <row r="17" spans="1:8" ht="30" customHeight="1" x14ac:dyDescent="0.35">
      <c r="A17" s="14" t="s">
        <v>304</v>
      </c>
      <c r="B17" s="14" t="s">
        <v>305</v>
      </c>
      <c r="C17" s="15" t="s">
        <v>326</v>
      </c>
      <c r="D17" s="16" t="s">
        <v>327</v>
      </c>
      <c r="E17" s="17">
        <v>2</v>
      </c>
      <c r="F17" s="18" t="s">
        <v>892</v>
      </c>
      <c r="G17" s="16" t="s">
        <v>901</v>
      </c>
      <c r="H17" s="16" t="s">
        <v>902</v>
      </c>
    </row>
    <row r="18" spans="1:8" ht="30" customHeight="1" x14ac:dyDescent="0.35">
      <c r="A18" s="19" t="s">
        <v>304</v>
      </c>
      <c r="B18" s="19" t="s">
        <v>305</v>
      </c>
      <c r="C18" s="20" t="s">
        <v>328</v>
      </c>
      <c r="D18" s="21" t="s">
        <v>329</v>
      </c>
      <c r="E18" s="17">
        <v>2</v>
      </c>
      <c r="F18" s="18" t="s">
        <v>892</v>
      </c>
      <c r="G18" s="21" t="s">
        <v>898</v>
      </c>
      <c r="H18" s="25" t="s">
        <v>899</v>
      </c>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7" r:id="rId1" location="L21" xr:uid="{F596CCA9-524A-46C7-9C77-F6EA6F450E91}"/>
    <hyperlink ref="H8" r:id="rId2" location="L52" xr:uid="{65E8B584-A00F-4884-A727-264FF99EB138}"/>
    <hyperlink ref="H18" r:id="rId3" location="L27" xr:uid="{E112FC84-77A3-41FD-92F9-0CF4A1D171BE}"/>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6"/>
  <sheetViews>
    <sheetView topLeftCell="B1" zoomScale="75" zoomScaleNormal="75" workbookViewId="0">
      <pane ySplit="1" topLeftCell="A11" activePane="bottomLeft" state="frozen"/>
      <selection pane="bottomLeft" activeCell="G16" sqref="G1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9" ht="28" customHeight="1" x14ac:dyDescent="0.35">
      <c r="A1" s="12" t="s">
        <v>33</v>
      </c>
      <c r="B1" s="12" t="s">
        <v>34</v>
      </c>
      <c r="C1" s="12" t="s">
        <v>35</v>
      </c>
      <c r="D1" s="12" t="s">
        <v>36</v>
      </c>
      <c r="E1" s="12" t="s">
        <v>37</v>
      </c>
      <c r="F1" s="12" t="s">
        <v>38</v>
      </c>
      <c r="G1" s="12" t="s">
        <v>39</v>
      </c>
      <c r="H1" s="12" t="s">
        <v>40</v>
      </c>
    </row>
    <row r="2" spans="1:9" ht="18" customHeight="1" x14ac:dyDescent="0.35">
      <c r="A2" s="13" t="s">
        <v>406</v>
      </c>
      <c r="B2" s="13" t="s">
        <v>407</v>
      </c>
      <c r="C2" s="13"/>
      <c r="D2" s="13"/>
      <c r="E2" s="13"/>
      <c r="F2" s="13"/>
      <c r="G2" s="13"/>
      <c r="H2" s="13"/>
    </row>
    <row r="3" spans="1:9" ht="30" customHeight="1" x14ac:dyDescent="0.35">
      <c r="A3" s="14" t="s">
        <v>406</v>
      </c>
      <c r="B3" s="14" t="s">
        <v>407</v>
      </c>
      <c r="C3" s="15" t="s">
        <v>408</v>
      </c>
      <c r="D3" s="16" t="s">
        <v>409</v>
      </c>
      <c r="E3" s="17">
        <v>2</v>
      </c>
      <c r="F3" s="18" t="s">
        <v>45</v>
      </c>
      <c r="G3" s="16"/>
      <c r="H3" s="16"/>
    </row>
    <row r="4" spans="1:9" ht="30" customHeight="1" x14ac:dyDescent="0.35">
      <c r="A4" s="19" t="s">
        <v>406</v>
      </c>
      <c r="B4" s="19" t="s">
        <v>407</v>
      </c>
      <c r="C4" s="20" t="s">
        <v>410</v>
      </c>
      <c r="D4" s="21" t="s">
        <v>411</v>
      </c>
      <c r="E4" s="17">
        <v>2</v>
      </c>
      <c r="F4" s="18" t="s">
        <v>45</v>
      </c>
      <c r="G4" s="21"/>
      <c r="H4" s="21"/>
    </row>
    <row r="5" spans="1:9" ht="30" customHeight="1" x14ac:dyDescent="0.35">
      <c r="A5" s="14" t="s">
        <v>406</v>
      </c>
      <c r="B5" s="14" t="s">
        <v>407</v>
      </c>
      <c r="C5" s="15" t="s">
        <v>412</v>
      </c>
      <c r="D5" s="16" t="s">
        <v>413</v>
      </c>
      <c r="E5" s="17">
        <v>2</v>
      </c>
      <c r="F5" s="18" t="s">
        <v>45</v>
      </c>
      <c r="G5" s="16"/>
      <c r="H5" s="16"/>
    </row>
    <row r="6" spans="1:9" ht="18" customHeight="1" x14ac:dyDescent="0.35">
      <c r="A6" s="13" t="s">
        <v>414</v>
      </c>
      <c r="B6" s="13" t="s">
        <v>415</v>
      </c>
      <c r="C6" s="13"/>
      <c r="D6" s="13"/>
      <c r="E6" s="13"/>
      <c r="F6" s="13"/>
      <c r="G6" s="13"/>
      <c r="H6" s="13"/>
    </row>
    <row r="7" spans="1:9" ht="30" customHeight="1" x14ac:dyDescent="0.35">
      <c r="A7" s="14" t="s">
        <v>414</v>
      </c>
      <c r="B7" s="14" t="s">
        <v>415</v>
      </c>
      <c r="C7" s="15" t="s">
        <v>416</v>
      </c>
      <c r="D7" s="16" t="s">
        <v>417</v>
      </c>
      <c r="E7" s="22">
        <v>1</v>
      </c>
      <c r="F7" s="18" t="s">
        <v>892</v>
      </c>
      <c r="G7" s="16" t="s">
        <v>906</v>
      </c>
      <c r="H7" s="24" t="s">
        <v>907</v>
      </c>
    </row>
    <row r="8" spans="1:9" ht="30" customHeight="1" x14ac:dyDescent="0.35">
      <c r="A8" s="19" t="s">
        <v>414</v>
      </c>
      <c r="B8" s="19" t="s">
        <v>415</v>
      </c>
      <c r="C8" s="20" t="s">
        <v>418</v>
      </c>
      <c r="D8" s="21" t="s">
        <v>419</v>
      </c>
      <c r="E8" s="22">
        <v>1</v>
      </c>
      <c r="F8" s="18" t="s">
        <v>892</v>
      </c>
      <c r="G8" s="21" t="s">
        <v>908</v>
      </c>
      <c r="H8" s="25" t="s">
        <v>909</v>
      </c>
      <c r="I8" s="27" t="s">
        <v>910</v>
      </c>
    </row>
    <row r="9" spans="1:9" ht="30" customHeight="1" x14ac:dyDescent="0.35">
      <c r="A9" s="14" t="s">
        <v>414</v>
      </c>
      <c r="B9" s="14" t="s">
        <v>415</v>
      </c>
      <c r="C9" s="15" t="s">
        <v>420</v>
      </c>
      <c r="D9" s="16" t="s">
        <v>421</v>
      </c>
      <c r="E9" s="22">
        <v>1</v>
      </c>
      <c r="F9" s="18" t="s">
        <v>45</v>
      </c>
      <c r="G9" s="16"/>
      <c r="H9" s="16"/>
    </row>
    <row r="10" spans="1:9" ht="30" customHeight="1" x14ac:dyDescent="0.35">
      <c r="A10" s="19" t="s">
        <v>414</v>
      </c>
      <c r="B10" s="19" t="s">
        <v>415</v>
      </c>
      <c r="C10" s="20" t="s">
        <v>422</v>
      </c>
      <c r="D10" s="21" t="s">
        <v>423</v>
      </c>
      <c r="E10" s="22">
        <v>1</v>
      </c>
      <c r="F10" s="18" t="s">
        <v>45</v>
      </c>
      <c r="G10" s="21"/>
      <c r="H10" s="21"/>
    </row>
    <row r="11" spans="1:9" ht="18" customHeight="1" x14ac:dyDescent="0.35">
      <c r="A11" s="13" t="s">
        <v>424</v>
      </c>
      <c r="B11" s="13" t="s">
        <v>425</v>
      </c>
      <c r="C11" s="13"/>
      <c r="D11" s="13"/>
      <c r="E11" s="13"/>
      <c r="F11" s="13"/>
      <c r="G11" s="13"/>
      <c r="H11" s="13"/>
    </row>
    <row r="12" spans="1:9" ht="30" customHeight="1" x14ac:dyDescent="0.35">
      <c r="A12" s="14" t="s">
        <v>424</v>
      </c>
      <c r="B12" s="14" t="s">
        <v>425</v>
      </c>
      <c r="C12" s="15" t="s">
        <v>426</v>
      </c>
      <c r="D12" s="16" t="s">
        <v>427</v>
      </c>
      <c r="E12" s="17">
        <v>2</v>
      </c>
      <c r="F12" s="18" t="s">
        <v>45</v>
      </c>
      <c r="G12" s="16"/>
      <c r="H12" s="16"/>
    </row>
    <row r="13" spans="1:9" ht="30" customHeight="1" x14ac:dyDescent="0.35">
      <c r="A13" s="19" t="s">
        <v>424</v>
      </c>
      <c r="B13" s="19" t="s">
        <v>425</v>
      </c>
      <c r="C13" s="20" t="s">
        <v>428</v>
      </c>
      <c r="D13" s="21" t="s">
        <v>429</v>
      </c>
      <c r="E13" s="17">
        <v>2</v>
      </c>
      <c r="F13" s="18" t="s">
        <v>892</v>
      </c>
      <c r="G13" s="21" t="s">
        <v>911</v>
      </c>
      <c r="H13" s="25" t="s">
        <v>912</v>
      </c>
    </row>
    <row r="14" spans="1:9" ht="18" customHeight="1" x14ac:dyDescent="0.35">
      <c r="A14" s="13" t="s">
        <v>430</v>
      </c>
      <c r="B14" s="13" t="s">
        <v>431</v>
      </c>
      <c r="C14" s="13"/>
      <c r="D14" s="13"/>
      <c r="E14" s="13"/>
      <c r="F14" s="13"/>
      <c r="G14" s="13"/>
      <c r="H14" s="13"/>
    </row>
    <row r="15" spans="1:9" ht="30" customHeight="1" x14ac:dyDescent="0.35">
      <c r="A15" s="14" t="s">
        <v>430</v>
      </c>
      <c r="B15" s="14" t="s">
        <v>431</v>
      </c>
      <c r="C15" s="15" t="s">
        <v>432</v>
      </c>
      <c r="D15" s="16" t="s">
        <v>433</v>
      </c>
      <c r="E15" s="22">
        <v>1</v>
      </c>
      <c r="F15" s="18" t="s">
        <v>892</v>
      </c>
      <c r="G15" s="16" t="s">
        <v>913</v>
      </c>
      <c r="H15" s="24" t="s">
        <v>914</v>
      </c>
    </row>
    <row r="16" spans="1:9"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hyperlinks>
    <hyperlink ref="H7" r:id="rId1" location="L13" xr:uid="{FD6A63A9-43F3-41AF-BDE3-C25164B68FFD}"/>
    <hyperlink ref="H8" r:id="rId2" location="L92" xr:uid="{EE686EA0-3689-454D-BC4D-08A0EA5991A8}"/>
    <hyperlink ref="I8" r:id="rId3" location="L12" xr:uid="{0648B372-C764-4166-A10D-10BC648542FF}"/>
    <hyperlink ref="H13" r:id="rId4" location="L24" xr:uid="{C71220FD-D646-44CE-A54C-18F7BDD7D28C}"/>
    <hyperlink ref="H15" r:id="rId5" location="L106" xr:uid="{87F268CE-628A-4E57-8047-D9D0B20F0302}"/>
  </hyperlink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B1" zoomScale="75" zoomScaleNormal="75" workbookViewId="0">
      <pane ySplit="1" topLeftCell="A5" activePane="bottomLeft" state="frozen"/>
      <selection pane="bottomLeft" activeCell="G11" sqref="G11"/>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45</v>
      </c>
      <c r="G3" s="16"/>
      <c r="H3" s="16"/>
    </row>
    <row r="4" spans="1:8" ht="30" customHeight="1" x14ac:dyDescent="0.35">
      <c r="A4" s="19" t="s">
        <v>456</v>
      </c>
      <c r="B4" s="19" t="s">
        <v>457</v>
      </c>
      <c r="C4" s="20" t="s">
        <v>460</v>
      </c>
      <c r="D4" s="21" t="s">
        <v>461</v>
      </c>
      <c r="E4" s="17">
        <v>2</v>
      </c>
      <c r="F4" s="18" t="s">
        <v>45</v>
      </c>
      <c r="G4" s="21"/>
      <c r="H4" s="21"/>
    </row>
    <row r="5" spans="1:8" ht="30" customHeight="1" x14ac:dyDescent="0.35">
      <c r="A5" s="14" t="s">
        <v>456</v>
      </c>
      <c r="B5" s="14" t="s">
        <v>457</v>
      </c>
      <c r="C5" s="15" t="s">
        <v>462</v>
      </c>
      <c r="D5" s="16" t="s">
        <v>463</v>
      </c>
      <c r="E5" s="23">
        <v>3</v>
      </c>
      <c r="F5" s="18" t="s">
        <v>45</v>
      </c>
      <c r="G5" s="16"/>
      <c r="H5" s="16"/>
    </row>
    <row r="6" spans="1:8" ht="30" customHeight="1" x14ac:dyDescent="0.35">
      <c r="A6" s="19" t="s">
        <v>456</v>
      </c>
      <c r="B6" s="19" t="s">
        <v>457</v>
      </c>
      <c r="C6" s="20" t="s">
        <v>464</v>
      </c>
      <c r="D6" s="21" t="s">
        <v>465</v>
      </c>
      <c r="E6" s="23">
        <v>3</v>
      </c>
      <c r="F6" s="18" t="s">
        <v>45</v>
      </c>
      <c r="G6" s="21"/>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916</v>
      </c>
      <c r="H8" s="24" t="s">
        <v>915</v>
      </c>
    </row>
    <row r="9" spans="1:8" ht="30" customHeight="1" x14ac:dyDescent="0.35">
      <c r="A9" s="19" t="s">
        <v>466</v>
      </c>
      <c r="B9" s="19" t="s">
        <v>467</v>
      </c>
      <c r="C9" s="20" t="s">
        <v>470</v>
      </c>
      <c r="D9" s="21" t="s">
        <v>471</v>
      </c>
      <c r="E9" s="22">
        <v>1</v>
      </c>
      <c r="F9" s="18" t="s">
        <v>45</v>
      </c>
      <c r="G9" s="21"/>
      <c r="H9" s="21"/>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45</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45</v>
      </c>
      <c r="G13" s="16"/>
      <c r="H13" s="16"/>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45</v>
      </c>
      <c r="G15" s="16"/>
      <c r="H15" s="16"/>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45</v>
      </c>
      <c r="G17" s="16"/>
      <c r="H17" s="16"/>
    </row>
    <row r="18" spans="1:8" ht="30" customHeight="1" x14ac:dyDescent="0.3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location="L95" xr:uid="{ABFA394F-53FC-472E-B84B-2C70A0ADD836}"/>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B1"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topLeftCell="C1" zoomScale="75" zoomScaleNormal="75" workbookViewId="0">
      <pane ySplit="1" topLeftCell="A1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8" activePane="bottomLeft" state="frozen"/>
      <selection pane="bottomLeft" activeCell="H20" sqref="H20"/>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892</v>
      </c>
      <c r="G20" s="16" t="s">
        <v>917</v>
      </c>
      <c r="H20" s="24" t="s">
        <v>918</v>
      </c>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0" r:id="rId1" location="L1" xr:uid="{4CEB0538-09C9-484B-86F6-761C19E93F10}"/>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45</v>
      </c>
      <c r="G3" s="16"/>
      <c r="H3" s="16"/>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45</v>
      </c>
      <c r="G9" s="16"/>
      <c r="H9" s="16"/>
    </row>
    <row r="10" spans="1:8" ht="30" customHeight="1" x14ac:dyDescent="0.35">
      <c r="A10" s="19" t="s">
        <v>668</v>
      </c>
      <c r="B10" s="19" t="s">
        <v>669</v>
      </c>
      <c r="C10" s="20" t="s">
        <v>672</v>
      </c>
      <c r="D10" s="21" t="s">
        <v>673</v>
      </c>
      <c r="E10" s="22">
        <v>1</v>
      </c>
      <c r="F10" s="18" t="s">
        <v>45</v>
      </c>
      <c r="G10" s="21"/>
      <c r="H10" s="21"/>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45</v>
      </c>
      <c r="G12" s="16"/>
      <c r="H12" s="16"/>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45</v>
      </c>
      <c r="G14" s="16"/>
      <c r="H14" s="16"/>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G6" sqref="G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t="s">
        <v>920</v>
      </c>
      <c r="H3" s="24" t="s">
        <v>919</v>
      </c>
    </row>
    <row r="4" spans="1:8" ht="30" customHeight="1" x14ac:dyDescent="0.35">
      <c r="A4" s="19" t="s">
        <v>736</v>
      </c>
      <c r="B4" s="19" t="s">
        <v>737</v>
      </c>
      <c r="C4" s="20" t="s">
        <v>740</v>
      </c>
      <c r="D4" s="21" t="s">
        <v>741</v>
      </c>
      <c r="E4" s="17">
        <v>2</v>
      </c>
      <c r="F4" s="18" t="s">
        <v>45</v>
      </c>
      <c r="G4" s="21"/>
      <c r="H4" s="21"/>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3" r:id="rId1" location="L136" xr:uid="{60DC742D-9B3F-4C18-A91A-E26E15765FCE}"/>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45</v>
      </c>
      <c r="G3" s="16"/>
      <c r="H3" s="16"/>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45</v>
      </c>
      <c r="G3" s="16"/>
      <c r="H3" s="16"/>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45</v>
      </c>
      <c r="G5" s="16"/>
      <c r="H5" s="16"/>
    </row>
    <row r="6" spans="1:8" ht="30" customHeight="1" x14ac:dyDescent="0.35">
      <c r="A6" s="19" t="s">
        <v>822</v>
      </c>
      <c r="B6" s="19" t="s">
        <v>823</v>
      </c>
      <c r="C6" s="20" t="s">
        <v>826</v>
      </c>
      <c r="D6" s="21" t="s">
        <v>827</v>
      </c>
      <c r="E6" s="17">
        <v>2</v>
      </c>
      <c r="F6" s="18" t="s">
        <v>45</v>
      </c>
      <c r="G6" s="21"/>
      <c r="H6" s="21"/>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45</v>
      </c>
      <c r="G8" s="21"/>
      <c r="H8" s="21"/>
    </row>
    <row r="9" spans="1:8" ht="30" customHeight="1" x14ac:dyDescent="0.35">
      <c r="A9" s="14" t="s">
        <v>822</v>
      </c>
      <c r="B9" s="14" t="s">
        <v>823</v>
      </c>
      <c r="C9" s="15" t="s">
        <v>832</v>
      </c>
      <c r="D9" s="16" t="s">
        <v>833</v>
      </c>
      <c r="E9" s="17">
        <v>2</v>
      </c>
      <c r="F9" s="18" t="s">
        <v>45</v>
      </c>
      <c r="G9" s="16"/>
      <c r="H9" s="16"/>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45</v>
      </c>
      <c r="G11" s="16"/>
      <c r="H11" s="16"/>
    </row>
    <row r="12" spans="1:8" ht="30" customHeight="1" x14ac:dyDescent="0.35">
      <c r="A12" s="19" t="s">
        <v>834</v>
      </c>
      <c r="B12" s="19" t="s">
        <v>835</v>
      </c>
      <c r="C12" s="20" t="s">
        <v>838</v>
      </c>
      <c r="D12" s="21" t="s">
        <v>839</v>
      </c>
      <c r="E12" s="17">
        <v>2</v>
      </c>
      <c r="F12" s="18" t="s">
        <v>45</v>
      </c>
      <c r="G12" s="21"/>
      <c r="H12" s="21"/>
    </row>
    <row r="13" spans="1:8" ht="30" customHeight="1" x14ac:dyDescent="0.35">
      <c r="A13" s="14" t="s">
        <v>834</v>
      </c>
      <c r="B13" s="14" t="s">
        <v>835</v>
      </c>
      <c r="C13" s="15" t="s">
        <v>840</v>
      </c>
      <c r="D13" s="16" t="s">
        <v>841</v>
      </c>
      <c r="E13" s="17">
        <v>2</v>
      </c>
      <c r="F13" s="18" t="s">
        <v>45</v>
      </c>
      <c r="G13" s="16"/>
      <c r="H13" s="16"/>
    </row>
    <row r="14" spans="1:8" ht="30" customHeight="1" x14ac:dyDescent="0.35">
      <c r="A14" s="19" t="s">
        <v>834</v>
      </c>
      <c r="B14" s="19" t="s">
        <v>835</v>
      </c>
      <c r="C14" s="20" t="s">
        <v>842</v>
      </c>
      <c r="D14" s="21" t="s">
        <v>843</v>
      </c>
      <c r="E14" s="17">
        <v>2</v>
      </c>
      <c r="F14" s="18" t="s">
        <v>45</v>
      </c>
      <c r="G14" s="21"/>
      <c r="H14" s="21"/>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45</v>
      </c>
      <c r="G16" s="16"/>
      <c r="H16" s="16"/>
    </row>
    <row r="17" spans="1:8" ht="30" customHeight="1" x14ac:dyDescent="0.35">
      <c r="A17" s="19" t="s">
        <v>844</v>
      </c>
      <c r="B17" s="19" t="s">
        <v>845</v>
      </c>
      <c r="C17" s="20" t="s">
        <v>848</v>
      </c>
      <c r="D17" s="21" t="s">
        <v>849</v>
      </c>
      <c r="E17" s="17">
        <v>2</v>
      </c>
      <c r="F17" s="18" t="s">
        <v>45</v>
      </c>
      <c r="G17" s="21"/>
      <c r="H17" s="21"/>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45</v>
      </c>
      <c r="G20" s="16"/>
      <c r="H20" s="16"/>
    </row>
    <row r="21" spans="1:8" ht="30" customHeight="1" x14ac:dyDescent="0.35">
      <c r="A21" s="19" t="s">
        <v>852</v>
      </c>
      <c r="B21" s="19" t="s">
        <v>853</v>
      </c>
      <c r="C21" s="20" t="s">
        <v>856</v>
      </c>
      <c r="D21" s="21" t="s">
        <v>857</v>
      </c>
      <c r="E21" s="17">
        <v>2</v>
      </c>
      <c r="F21" s="18" t="s">
        <v>45</v>
      </c>
      <c r="G21" s="21"/>
      <c r="H21" s="21"/>
    </row>
    <row r="22" spans="1:8" ht="30" customHeight="1" x14ac:dyDescent="0.35">
      <c r="A22" s="14" t="s">
        <v>852</v>
      </c>
      <c r="B22" s="14" t="s">
        <v>853</v>
      </c>
      <c r="C22" s="15" t="s">
        <v>858</v>
      </c>
      <c r="D22" s="16" t="s">
        <v>859</v>
      </c>
      <c r="E22" s="17">
        <v>2</v>
      </c>
      <c r="F22" s="18" t="s">
        <v>45</v>
      </c>
      <c r="G22" s="16"/>
      <c r="H22" s="16"/>
    </row>
    <row r="23" spans="1:8" ht="30" customHeight="1" x14ac:dyDescent="0.3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Antonio D´abrantes Marques Prata Neves</cp:lastModifiedBy>
  <cp:revision>3</cp:revision>
  <dcterms:created xsi:type="dcterms:W3CDTF">2026-03-04T10:14:28Z</dcterms:created>
  <dcterms:modified xsi:type="dcterms:W3CDTF">2026-06-09T14:50:05Z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